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NITRO5\OneDrive\Desktop\"/>
    </mc:Choice>
  </mc:AlternateContent>
  <xr:revisionPtr revIDLastSave="0" documentId="8_{84D35AEB-C39A-4258-9B91-08885B9CB797}" xr6:coauthVersionLast="47" xr6:coauthVersionMax="47" xr10:uidLastSave="{00000000-0000-0000-0000-000000000000}"/>
  <bookViews>
    <workbookView xWindow="732" yWindow="732" windowWidth="17280" windowHeight="8880" activeTab="2" xr2:uid="{00000000-000D-0000-FFFF-FFFF00000000}"/>
  </bookViews>
  <sheets>
    <sheet name="Sales_Data" sheetId="1" r:id="rId1"/>
    <sheet name="PIVOT" sheetId="5" r:id="rId2"/>
    <sheet name="DASHBOARD" sheetId="2" r:id="rId3"/>
  </sheets>
  <definedNames>
    <definedName name="Slicer_Category">#N/A</definedName>
    <definedName name="Slicer_Payment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4" i="1" l="1"/>
  <c r="J14" i="1"/>
  <c r="J13" i="1"/>
  <c r="J12" i="1"/>
  <c r="J8" i="1"/>
  <c r="J7" i="1"/>
  <c r="G10" i="1"/>
  <c r="G55" i="1"/>
  <c r="G68" i="1"/>
  <c r="G80" i="1"/>
  <c r="G95" i="1"/>
  <c r="G106" i="1"/>
  <c r="G136" i="1"/>
  <c r="G137" i="1"/>
  <c r="G148" i="1"/>
  <c r="G158" i="1"/>
  <c r="G219" i="1"/>
  <c r="G253" i="1"/>
  <c r="G271" i="1"/>
  <c r="G300" i="1"/>
  <c r="G309" i="1"/>
  <c r="G329" i="1"/>
  <c r="G373" i="1"/>
  <c r="G374" i="1"/>
  <c r="G417" i="1"/>
  <c r="G429" i="1"/>
  <c r="G470" i="1"/>
  <c r="G480" i="1"/>
  <c r="G486" i="1"/>
  <c r="G2" i="1"/>
  <c r="G3" i="1"/>
  <c r="G30" i="1"/>
  <c r="G35" i="1"/>
  <c r="G65" i="1"/>
  <c r="G131" i="1"/>
  <c r="G132" i="1"/>
  <c r="G159" i="1"/>
  <c r="G177" i="1"/>
  <c r="G226" i="1"/>
  <c r="G301" i="1"/>
  <c r="G332" i="1"/>
  <c r="G415" i="1"/>
  <c r="G434" i="1"/>
  <c r="G458" i="1"/>
  <c r="G463" i="1"/>
  <c r="G471" i="1"/>
  <c r="G36" i="1"/>
  <c r="G37" i="1"/>
  <c r="G50" i="1"/>
  <c r="G66" i="1"/>
  <c r="G69" i="1"/>
  <c r="G73" i="1"/>
  <c r="G344" i="1"/>
  <c r="G381" i="1"/>
  <c r="G388" i="1"/>
  <c r="G398" i="1"/>
  <c r="G405" i="1"/>
  <c r="G464" i="1"/>
  <c r="G499" i="1"/>
  <c r="G4" i="1"/>
  <c r="G97" i="1"/>
  <c r="G160" i="1"/>
  <c r="G161" i="1"/>
  <c r="G164" i="1"/>
  <c r="G189" i="1"/>
  <c r="G260" i="1"/>
  <c r="G278" i="1"/>
  <c r="G295" i="1"/>
  <c r="G302" i="1"/>
  <c r="G303" i="1"/>
  <c r="G333" i="1"/>
  <c r="G351" i="1"/>
  <c r="G357" i="1"/>
  <c r="G435" i="1"/>
  <c r="G447" i="1"/>
  <c r="G5" i="1"/>
  <c r="G15" i="1"/>
  <c r="G38" i="1"/>
  <c r="G70" i="1"/>
  <c r="G144" i="1"/>
  <c r="G165" i="1"/>
  <c r="G212" i="1"/>
  <c r="G229" i="1"/>
  <c r="G243" i="1"/>
  <c r="G248" i="1"/>
  <c r="G263" i="1"/>
  <c r="G279" i="1"/>
  <c r="G320" i="1"/>
  <c r="G406" i="1"/>
  <c r="G407" i="1"/>
  <c r="G425" i="1"/>
  <c r="G443" i="1"/>
  <c r="G481" i="1"/>
  <c r="G19" i="1"/>
  <c r="G31" i="1"/>
  <c r="G63" i="1"/>
  <c r="G90" i="1"/>
  <c r="G98" i="1"/>
  <c r="G125" i="1"/>
  <c r="G190" i="1"/>
  <c r="G195" i="1"/>
  <c r="G217" i="1"/>
  <c r="G233" i="1"/>
  <c r="G272" i="1"/>
  <c r="G313" i="1"/>
  <c r="G330" i="1"/>
  <c r="G334" i="1"/>
  <c r="G358" i="1"/>
  <c r="G364" i="1"/>
  <c r="G377" i="1"/>
  <c r="G430" i="1"/>
  <c r="G448" i="1"/>
  <c r="G467" i="1"/>
  <c r="G490" i="1"/>
  <c r="G492" i="1"/>
  <c r="G11" i="1"/>
  <c r="G51" i="1"/>
  <c r="G77" i="1"/>
  <c r="G81" i="1"/>
  <c r="G149" i="1"/>
  <c r="G162" i="1"/>
  <c r="G196" i="1"/>
  <c r="G288" i="1"/>
  <c r="G296" i="1"/>
  <c r="G304" i="1"/>
  <c r="G418" i="1"/>
  <c r="G24" i="1"/>
  <c r="G28" i="1"/>
  <c r="G99" i="1"/>
  <c r="G141" i="1"/>
  <c r="G150" i="1"/>
  <c r="G151" i="1"/>
  <c r="G199" i="1"/>
  <c r="G261" i="1"/>
  <c r="G273" i="1"/>
  <c r="G283" i="1"/>
  <c r="G314" i="1"/>
  <c r="G419" i="1"/>
  <c r="G426" i="1"/>
  <c r="G436" i="1"/>
  <c r="G487" i="1"/>
  <c r="G100" i="1"/>
  <c r="G107" i="1"/>
  <c r="G108" i="1"/>
  <c r="G152" i="1"/>
  <c r="G163" i="1"/>
  <c r="G166" i="1"/>
  <c r="G171" i="1"/>
  <c r="G178" i="1"/>
  <c r="G230" i="1"/>
  <c r="G244" i="1"/>
  <c r="G289" i="1"/>
  <c r="G315" i="1"/>
  <c r="G359" i="1"/>
  <c r="G382" i="1"/>
  <c r="G389" i="1"/>
  <c r="G437" i="1"/>
  <c r="G453" i="1"/>
  <c r="G459" i="1"/>
  <c r="G468" i="1"/>
  <c r="G472" i="1"/>
  <c r="G25" i="1"/>
  <c r="G56" i="1"/>
  <c r="G118" i="1"/>
  <c r="G129" i="1"/>
  <c r="G145" i="1"/>
  <c r="G182" i="1"/>
  <c r="G185" i="1"/>
  <c r="G284" i="1"/>
  <c r="G290" i="1"/>
  <c r="G310" i="1"/>
  <c r="G367" i="1"/>
  <c r="G476" i="1"/>
  <c r="G482" i="1"/>
  <c r="G500" i="1"/>
  <c r="G39" i="1"/>
  <c r="G57" i="1"/>
  <c r="G82" i="1"/>
  <c r="G172" i="1"/>
  <c r="G200" i="1"/>
  <c r="G220" i="1"/>
  <c r="G231" i="1"/>
  <c r="G280" i="1"/>
  <c r="G321" i="1"/>
  <c r="G322" i="1"/>
  <c r="G339" i="1"/>
  <c r="G352" i="1"/>
  <c r="G368" i="1"/>
  <c r="G399" i="1"/>
  <c r="G440" i="1"/>
  <c r="G449" i="1"/>
  <c r="G450" i="1"/>
  <c r="G454" i="1"/>
  <c r="G460" i="1"/>
  <c r="G473" i="1"/>
  <c r="G109" i="1"/>
  <c r="G119" i="1"/>
  <c r="G133" i="1"/>
  <c r="G146" i="1"/>
  <c r="G194" i="1"/>
  <c r="G206" i="1"/>
  <c r="G245" i="1"/>
  <c r="G274" i="1"/>
  <c r="G275" i="1"/>
  <c r="G340" i="1"/>
  <c r="G431" i="1"/>
  <c r="G477" i="1"/>
  <c r="G40" i="1"/>
  <c r="G138" i="1"/>
  <c r="G173" i="1"/>
  <c r="G179" i="1"/>
  <c r="G291" i="1"/>
  <c r="G335" i="1"/>
  <c r="G336" i="1"/>
  <c r="G348" i="1"/>
  <c r="G393" i="1"/>
  <c r="G416" i="1"/>
  <c r="G474" i="1"/>
  <c r="G493" i="1"/>
  <c r="G501" i="1"/>
  <c r="G74" i="1"/>
  <c r="G75" i="1"/>
  <c r="G114" i="1"/>
  <c r="G153" i="1"/>
  <c r="G297" i="1"/>
  <c r="G337" i="1"/>
  <c r="G341" i="1"/>
  <c r="G365" i="1"/>
  <c r="G478" i="1"/>
  <c r="G6" i="1"/>
  <c r="G47" i="1"/>
  <c r="G58" i="1"/>
  <c r="G59" i="1"/>
  <c r="G102" i="1"/>
  <c r="G120" i="1"/>
  <c r="G121" i="1"/>
  <c r="G154" i="1"/>
  <c r="G227" i="1"/>
  <c r="G235" i="1"/>
  <c r="G246" i="1"/>
  <c r="G249" i="1"/>
  <c r="G420" i="1"/>
  <c r="G427" i="1"/>
  <c r="G494" i="1"/>
  <c r="G110" i="1"/>
  <c r="G183" i="1"/>
  <c r="G201" i="1"/>
  <c r="G213" i="1"/>
  <c r="G228" i="1"/>
  <c r="G266" i="1"/>
  <c r="G318" i="1"/>
  <c r="G342" i="1"/>
  <c r="G385" i="1"/>
  <c r="G400" i="1"/>
  <c r="G83" i="1"/>
  <c r="G103" i="1"/>
  <c r="G111" i="1"/>
  <c r="G142" i="1"/>
  <c r="G236" i="1"/>
  <c r="G247" i="1"/>
  <c r="G250" i="1"/>
  <c r="G345" i="1"/>
  <c r="G386" i="1"/>
  <c r="G401" i="1"/>
  <c r="G432" i="1"/>
  <c r="G444" i="1"/>
  <c r="G483" i="1"/>
  <c r="G484" i="1"/>
  <c r="G186" i="1"/>
  <c r="G311" i="1"/>
  <c r="G369" i="1"/>
  <c r="G421" i="1"/>
  <c r="G422" i="1"/>
  <c r="G441" i="1"/>
  <c r="G451" i="1"/>
  <c r="G53" i="1"/>
  <c r="G71" i="1"/>
  <c r="G155" i="1"/>
  <c r="G198" i="1"/>
  <c r="G232" i="1"/>
  <c r="G267" i="1"/>
  <c r="G353" i="1"/>
  <c r="G378" i="1"/>
  <c r="G32" i="1"/>
  <c r="G41" i="1"/>
  <c r="G76" i="1"/>
  <c r="G104" i="1"/>
  <c r="G115" i="1"/>
  <c r="G122" i="1"/>
  <c r="G191" i="1"/>
  <c r="G207" i="1"/>
  <c r="G323" i="1"/>
  <c r="G360" i="1"/>
  <c r="G423" i="1"/>
  <c r="G52" i="1"/>
  <c r="G78" i="1"/>
  <c r="G126" i="1"/>
  <c r="G202" i="1"/>
  <c r="G237" i="1"/>
  <c r="G262" i="1"/>
  <c r="G268" i="1"/>
  <c r="G408" i="1"/>
  <c r="G491" i="1"/>
  <c r="G42" i="1"/>
  <c r="G43" i="1"/>
  <c r="G64" i="1"/>
  <c r="G91" i="1"/>
  <c r="G139" i="1"/>
  <c r="G251" i="1"/>
  <c r="G258" i="1"/>
  <c r="G343" i="1"/>
  <c r="G409" i="1"/>
  <c r="G438" i="1"/>
  <c r="G452" i="1"/>
  <c r="G475" i="1"/>
  <c r="G12" i="1"/>
  <c r="G116" i="1"/>
  <c r="G127" i="1"/>
  <c r="G180" i="1"/>
  <c r="G204" i="1"/>
  <c r="G312" i="1"/>
  <c r="G331" i="1"/>
  <c r="G338" i="1"/>
  <c r="G379" i="1"/>
  <c r="G442" i="1"/>
  <c r="G469" i="1"/>
  <c r="G20" i="1"/>
  <c r="G60" i="1"/>
  <c r="G105" i="1"/>
  <c r="G147" i="1"/>
  <c r="G269" i="1"/>
  <c r="G285" i="1"/>
  <c r="G349" i="1"/>
  <c r="G383" i="1"/>
  <c r="G387" i="1"/>
  <c r="G394" i="1"/>
  <c r="G410" i="1"/>
  <c r="G411" i="1"/>
  <c r="G428" i="1"/>
  <c r="G479" i="1"/>
  <c r="G488" i="1"/>
  <c r="G495" i="1"/>
  <c r="G13" i="1"/>
  <c r="G21" i="1"/>
  <c r="G61" i="1"/>
  <c r="G72" i="1"/>
  <c r="G134" i="1"/>
  <c r="G254" i="1"/>
  <c r="G276" i="1"/>
  <c r="G281" i="1"/>
  <c r="G370" i="1"/>
  <c r="G371" i="1"/>
  <c r="G384" i="1"/>
  <c r="G390" i="1"/>
  <c r="G424" i="1"/>
  <c r="G143" i="1"/>
  <c r="G187" i="1"/>
  <c r="G238" i="1"/>
  <c r="G239" i="1"/>
  <c r="G240" i="1"/>
  <c r="G298" i="1"/>
  <c r="G316" i="1"/>
  <c r="G354" i="1"/>
  <c r="G355" i="1"/>
  <c r="G361" i="1"/>
  <c r="G395" i="1"/>
  <c r="G7" i="1"/>
  <c r="G54" i="1"/>
  <c r="G62" i="1"/>
  <c r="G174" i="1"/>
  <c r="G188" i="1"/>
  <c r="G324" i="1"/>
  <c r="G412" i="1"/>
  <c r="G439" i="1"/>
  <c r="G455" i="1"/>
  <c r="G84" i="1"/>
  <c r="G112" i="1"/>
  <c r="G128" i="1"/>
  <c r="G167" i="1"/>
  <c r="G241" i="1"/>
  <c r="G252" i="1"/>
  <c r="G277" i="1"/>
  <c r="G292" i="1"/>
  <c r="G346" i="1"/>
  <c r="G366" i="1"/>
  <c r="G465" i="1"/>
  <c r="G496" i="1"/>
  <c r="G14" i="1"/>
  <c r="G16" i="1"/>
  <c r="G26" i="1"/>
  <c r="G85" i="1"/>
  <c r="G101" i="1"/>
  <c r="G117" i="1"/>
  <c r="G192" i="1"/>
  <c r="G205" i="1"/>
  <c r="G218" i="1"/>
  <c r="G242" i="1"/>
  <c r="G391" i="1"/>
  <c r="G17" i="1"/>
  <c r="G29" i="1"/>
  <c r="G33" i="1"/>
  <c r="G79" i="1"/>
  <c r="G86" i="1"/>
  <c r="G135" i="1"/>
  <c r="G156" i="1"/>
  <c r="G181" i="1"/>
  <c r="G214" i="1"/>
  <c r="G293" i="1"/>
  <c r="G319" i="1"/>
  <c r="G347" i="1"/>
  <c r="G362" i="1"/>
  <c r="G372" i="1"/>
  <c r="G413" i="1"/>
  <c r="G433" i="1"/>
  <c r="G92" i="1"/>
  <c r="G215" i="1"/>
  <c r="G255" i="1"/>
  <c r="G256" i="1"/>
  <c r="G282" i="1"/>
  <c r="G305" i="1"/>
  <c r="G306" i="1"/>
  <c r="G317" i="1"/>
  <c r="G325" i="1"/>
  <c r="G350" i="1"/>
  <c r="G396" i="1"/>
  <c r="G397" i="1"/>
  <c r="G414" i="1"/>
  <c r="G461" i="1"/>
  <c r="G8" i="1"/>
  <c r="G18" i="1"/>
  <c r="G34" i="1"/>
  <c r="G93" i="1"/>
  <c r="G113" i="1"/>
  <c r="G123" i="1"/>
  <c r="G184" i="1"/>
  <c r="G203" i="1"/>
  <c r="G208" i="1"/>
  <c r="G221" i="1"/>
  <c r="G222" i="1"/>
  <c r="G259" i="1"/>
  <c r="G270" i="1"/>
  <c r="G307" i="1"/>
  <c r="G356" i="1"/>
  <c r="G363" i="1"/>
  <c r="G392" i="1"/>
  <c r="G445" i="1"/>
  <c r="G446" i="1"/>
  <c r="G456" i="1"/>
  <c r="G462" i="1"/>
  <c r="G489" i="1"/>
  <c r="G22" i="1"/>
  <c r="G23" i="1"/>
  <c r="G44" i="1"/>
  <c r="G48" i="1"/>
  <c r="G157" i="1"/>
  <c r="G168" i="1"/>
  <c r="G169" i="1"/>
  <c r="G175" i="1"/>
  <c r="G209" i="1"/>
  <c r="G264" i="1"/>
  <c r="G286" i="1"/>
  <c r="G294" i="1"/>
  <c r="G308" i="1"/>
  <c r="G326" i="1"/>
  <c r="G375" i="1"/>
  <c r="G402" i="1"/>
  <c r="G403" i="1"/>
  <c r="G497" i="1"/>
  <c r="G49" i="1"/>
  <c r="G124" i="1"/>
  <c r="G130" i="1"/>
  <c r="G140" i="1"/>
  <c r="G176" i="1"/>
  <c r="G193" i="1"/>
  <c r="G210" i="1"/>
  <c r="G216" i="1"/>
  <c r="G234" i="1"/>
  <c r="G327" i="1"/>
  <c r="G404" i="1"/>
  <c r="G485" i="1"/>
  <c r="G498" i="1"/>
  <c r="G27" i="1"/>
  <c r="G87" i="1"/>
  <c r="G88" i="1"/>
  <c r="G89" i="1"/>
  <c r="G94" i="1"/>
  <c r="G170" i="1"/>
  <c r="G197" i="1"/>
  <c r="G211" i="1"/>
  <c r="G223" i="1"/>
  <c r="G224" i="1"/>
  <c r="G265" i="1"/>
  <c r="G457" i="1"/>
  <c r="G466" i="1"/>
  <c r="G45" i="1"/>
  <c r="G46" i="1"/>
  <c r="G67" i="1"/>
  <c r="G225" i="1"/>
  <c r="G257" i="1"/>
  <c r="G287" i="1"/>
  <c r="G299" i="1"/>
  <c r="G328" i="1"/>
  <c r="G376" i="1"/>
  <c r="G380" i="1"/>
  <c r="G96" i="1"/>
  <c r="G9" i="1"/>
  <c r="J4" i="1"/>
  <c r="G502" i="1" l="1"/>
  <c r="P4" i="1"/>
  <c r="K14" i="1"/>
  <c r="K13" i="1"/>
  <c r="K8" i="1"/>
  <c r="J9" i="1"/>
  <c r="J15" i="1"/>
  <c r="K7" i="1"/>
  <c r="K9" i="1" s="1"/>
  <c r="K4" i="1"/>
  <c r="K12" i="1"/>
  <c r="K15" i="1" l="1"/>
</calcChain>
</file>

<file path=xl/sharedStrings.xml><?xml version="1.0" encoding="utf-8"?>
<sst xmlns="http://schemas.openxmlformats.org/spreadsheetml/2006/main" count="1562" uniqueCount="40">
  <si>
    <t>Date</t>
  </si>
  <si>
    <t>Item</t>
  </si>
  <si>
    <t>Category</t>
  </si>
  <si>
    <t>Price</t>
  </si>
  <si>
    <t>Quantity</t>
  </si>
  <si>
    <t>Payment Method</t>
  </si>
  <si>
    <t>Brownie</t>
  </si>
  <si>
    <t>Food</t>
  </si>
  <si>
    <t>Digital Wallet</t>
  </si>
  <si>
    <t>Green Tea</t>
  </si>
  <si>
    <t>Beverage</t>
  </si>
  <si>
    <t>Blueberry Muffin</t>
  </si>
  <si>
    <t>Card</t>
  </si>
  <si>
    <t>Chocolate Cake</t>
  </si>
  <si>
    <t>Cash</t>
  </si>
  <si>
    <t>Cappuccino</t>
  </si>
  <si>
    <t>Americano</t>
  </si>
  <si>
    <t>Mocha</t>
  </si>
  <si>
    <t>Croissant</t>
  </si>
  <si>
    <t>Cookie</t>
  </si>
  <si>
    <t>Iced Coffee</t>
  </si>
  <si>
    <t>Sandwich</t>
  </si>
  <si>
    <t>Latte</t>
  </si>
  <si>
    <t>Quantity Sold</t>
  </si>
  <si>
    <t>Sales Amount</t>
  </si>
  <si>
    <t xml:space="preserve">Sales </t>
  </si>
  <si>
    <t>Sales  Amount</t>
  </si>
  <si>
    <t>Total</t>
  </si>
  <si>
    <t>TOTAL SALES</t>
  </si>
  <si>
    <t>Grand Total</t>
  </si>
  <si>
    <t xml:space="preserve">Sum of Sales </t>
  </si>
  <si>
    <t>Jan</t>
  </si>
  <si>
    <t>Feb</t>
  </si>
  <si>
    <t>Mar</t>
  </si>
  <si>
    <t>Apr</t>
  </si>
  <si>
    <t>Row Labels</t>
  </si>
  <si>
    <t>Total Sales By Category</t>
  </si>
  <si>
    <t>Total Sales By Month</t>
  </si>
  <si>
    <t>Total Sales By Items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</si>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</sst>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61]\ #,##0.00;[Red]\-[$₹-861]\ #,##0.00"/>
    <numFmt numFmtId="165" formatCode="[$₹-861]\ #,##0.00"/>
  </numFmts>
  <fonts count="5" x14ac:knownFonts="1">
    <font>
      <sz val="11"/>
      <color theme="1"/>
      <name val="Calibri"/>
      <family val="2"/>
      <scheme val="minor"/>
    </font>
    <font>
      <b/>
      <sz val="11"/>
      <name val="Calibri"/>
    </font>
    <font>
      <b/>
      <sz val="11"/>
      <color theme="1"/>
      <name val="Calibri"/>
      <family val="2"/>
      <scheme val="minor"/>
    </font>
    <font>
      <b/>
      <i/>
      <u/>
      <sz val="11"/>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1" xfId="0" applyBorder="1" applyAlignment="1">
      <alignment horizontal="center"/>
    </xf>
    <xf numFmtId="15" fontId="0" fillId="0" borderId="1" xfId="0" applyNumberFormat="1" applyBorder="1" applyAlignment="1">
      <alignment horizontal="center"/>
    </xf>
    <xf numFmtId="0" fontId="0" fillId="0" borderId="0" xfId="0" applyAlignment="1"/>
    <xf numFmtId="0" fontId="1" fillId="0" borderId="1" xfId="0" applyFont="1" applyFill="1" applyBorder="1" applyAlignment="1">
      <alignment horizontal="center"/>
    </xf>
    <xf numFmtId="0" fontId="2" fillId="0" borderId="1" xfId="0" applyFont="1" applyBorder="1" applyAlignment="1">
      <alignment horizontal="center"/>
    </xf>
    <xf numFmtId="0" fontId="0" fillId="0" borderId="1" xfId="0" applyFill="1" applyBorder="1" applyAlignment="1">
      <alignment horizontal="center"/>
    </xf>
    <xf numFmtId="0" fontId="2" fillId="0" borderId="1" xfId="0" applyFont="1" applyBorder="1" applyAlignment="1"/>
    <xf numFmtId="0" fontId="0" fillId="0" borderId="0" xfId="0" pivotButton="1"/>
    <xf numFmtId="0" fontId="0" fillId="0" borderId="0" xfId="0" applyNumberFormat="1"/>
    <xf numFmtId="0" fontId="0" fillId="0" borderId="0" xfId="0" applyAlignment="1">
      <alignment horizontal="left"/>
    </xf>
    <xf numFmtId="164" fontId="1" fillId="0" borderId="1" xfId="0" applyNumberFormat="1" applyFont="1" applyBorder="1" applyAlignment="1">
      <alignment horizontal="center" vertical="top"/>
    </xf>
    <xf numFmtId="164" fontId="0" fillId="0" borderId="1" xfId="0" applyNumberFormat="1" applyBorder="1" applyAlignment="1">
      <alignment horizontal="center"/>
    </xf>
    <xf numFmtId="164" fontId="0" fillId="0" borderId="0" xfId="0" applyNumberFormat="1" applyAlignment="1">
      <alignment horizontal="center"/>
    </xf>
    <xf numFmtId="165" fontId="1" fillId="0" borderId="1" xfId="0" applyNumberFormat="1" applyFont="1" applyFill="1" applyBorder="1" applyAlignment="1">
      <alignment horizontal="center" vertical="top"/>
    </xf>
    <xf numFmtId="165" fontId="0" fillId="0" borderId="1" xfId="0" applyNumberFormat="1" applyBorder="1" applyAlignment="1">
      <alignment horizontal="center"/>
    </xf>
    <xf numFmtId="165" fontId="2" fillId="0" borderId="1" xfId="0" applyNumberFormat="1" applyFont="1" applyBorder="1" applyAlignment="1">
      <alignment horizontal="center"/>
    </xf>
    <xf numFmtId="165" fontId="0" fillId="0" borderId="0" xfId="0" applyNumberFormat="1" applyAlignment="1">
      <alignment horizontal="center"/>
    </xf>
    <xf numFmtId="165" fontId="1" fillId="0" borderId="1" xfId="0" applyNumberFormat="1" applyFont="1" applyFill="1" applyBorder="1" applyAlignment="1">
      <alignment horizontal="center"/>
    </xf>
    <xf numFmtId="165" fontId="2" fillId="0" borderId="1" xfId="0" applyNumberFormat="1" applyFont="1" applyBorder="1" applyAlignment="1"/>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[Cafe_Sales_Analysis_Dataset.xlsx]PIVOT!PivotTable6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47462817147857"/>
          <c:y val="0.13446217198780128"/>
          <c:w val="0.74734011373578302"/>
          <c:h val="0.48646944296076777"/>
        </c:manualLayout>
      </c:layout>
      <c:barChart>
        <c:barDir val="col"/>
        <c:grouping val="clustered"/>
        <c:varyColors val="0"/>
        <c:ser>
          <c:idx val="0"/>
          <c:order val="0"/>
          <c:tx>
            <c:strRef>
              <c:f>PIVOT!$I$2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PIVOT!$H$3:$H$15</c:f>
              <c:strCache>
                <c:ptCount val="12"/>
                <c:pt idx="0">
                  <c:v>Chocolate Cake</c:v>
                </c:pt>
                <c:pt idx="1">
                  <c:v>Sandwich</c:v>
                </c:pt>
                <c:pt idx="2">
                  <c:v>Mocha</c:v>
                </c:pt>
                <c:pt idx="3">
                  <c:v>Latte</c:v>
                </c:pt>
                <c:pt idx="4">
                  <c:v>Iced Coffee</c:v>
                </c:pt>
                <c:pt idx="5">
                  <c:v>Americano</c:v>
                </c:pt>
                <c:pt idx="6">
                  <c:v>Cappuccino</c:v>
                </c:pt>
                <c:pt idx="7">
                  <c:v>Blueberry Muffin</c:v>
                </c:pt>
                <c:pt idx="8">
                  <c:v>Green Tea</c:v>
                </c:pt>
                <c:pt idx="9">
                  <c:v>Brownie</c:v>
                </c:pt>
                <c:pt idx="10">
                  <c:v>Croissant</c:v>
                </c:pt>
                <c:pt idx="11">
                  <c:v>Cookie</c:v>
                </c:pt>
              </c:strCache>
            </c:strRef>
          </c:cat>
          <c:val>
            <c:numRef>
              <c:f>PIVOT!$I$3:$I$15</c:f>
              <c:numCache>
                <c:formatCode>General</c:formatCode>
                <c:ptCount val="12"/>
                <c:pt idx="0">
                  <c:v>35840</c:v>
                </c:pt>
                <c:pt idx="1">
                  <c:v>32000</c:v>
                </c:pt>
                <c:pt idx="2">
                  <c:v>31920</c:v>
                </c:pt>
                <c:pt idx="3">
                  <c:v>27720</c:v>
                </c:pt>
                <c:pt idx="4">
                  <c:v>25560</c:v>
                </c:pt>
                <c:pt idx="5">
                  <c:v>22950</c:v>
                </c:pt>
                <c:pt idx="6">
                  <c:v>21840</c:v>
                </c:pt>
                <c:pt idx="7">
                  <c:v>20340</c:v>
                </c:pt>
                <c:pt idx="8">
                  <c:v>18360</c:v>
                </c:pt>
                <c:pt idx="9">
                  <c:v>18150</c:v>
                </c:pt>
                <c:pt idx="10">
                  <c:v>13020</c:v>
                </c:pt>
                <c:pt idx="11">
                  <c:v>11430</c:v>
                </c:pt>
              </c:numCache>
            </c:numRef>
          </c:val>
          <c:extLst>
            <c:ext xmlns:c16="http://schemas.microsoft.com/office/drawing/2014/chart" uri="{C3380CC4-5D6E-409C-BE32-E72D297353CC}">
              <c16:uniqueId val="{00000000-0023-4862-AF83-2EBFB823CFD1}"/>
            </c:ext>
          </c:extLst>
        </c:ser>
        <c:dLbls>
          <c:dLblPos val="outEnd"/>
          <c:showLegendKey val="0"/>
          <c:showVal val="1"/>
          <c:showCatName val="0"/>
          <c:showSerName val="0"/>
          <c:showPercent val="0"/>
          <c:showBubbleSize val="0"/>
        </c:dLbls>
        <c:gapWidth val="219"/>
        <c:overlap val="-27"/>
        <c:axId val="1604637183"/>
        <c:axId val="1666697535"/>
      </c:barChart>
      <c:catAx>
        <c:axId val="160463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697535"/>
        <c:crosses val="autoZero"/>
        <c:auto val="1"/>
        <c:lblAlgn val="ctr"/>
        <c:lblOffset val="100"/>
        <c:noMultiLvlLbl val="0"/>
      </c:catAx>
      <c:valAx>
        <c:axId val="166669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63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106680</xdr:rowOff>
    </xdr:from>
    <xdr:to>
      <xdr:col>23</xdr:col>
      <xdr:colOff>152400</xdr:colOff>
      <xdr:row>27</xdr:row>
      <xdr:rowOff>114300</xdr:rowOff>
    </xdr:to>
    <xdr:graphicFrame macro="">
      <xdr:nvGraphicFramePr>
        <xdr:cNvPr id="2" name="Chart 1">
          <a:extLst>
            <a:ext uri="{FF2B5EF4-FFF2-40B4-BE49-F238E27FC236}">
              <a16:creationId xmlns:a16="http://schemas.microsoft.com/office/drawing/2014/main" id="{4A88B82C-BC65-4267-B6F2-85AC7AC49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xdr:colOff>
      <xdr:row>0</xdr:row>
      <xdr:rowOff>22860</xdr:rowOff>
    </xdr:from>
    <xdr:to>
      <xdr:col>1</xdr:col>
      <xdr:colOff>548640</xdr:colOff>
      <xdr:row>5</xdr:row>
      <xdr:rowOff>0</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30621F5B-FE3D-4293-9F31-199ABD48602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620" y="22860"/>
              <a:ext cx="115062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167640</xdr:colOff>
      <xdr:row>0</xdr:row>
      <xdr:rowOff>0</xdr:rowOff>
    </xdr:from>
    <xdr:to>
      <xdr:col>23</xdr:col>
      <xdr:colOff>167640</xdr:colOff>
      <xdr:row>4</xdr:row>
      <xdr:rowOff>137160</xdr:rowOff>
    </xdr:to>
    <mc:AlternateContent xmlns:mc="http://schemas.openxmlformats.org/markup-compatibility/2006" xmlns:a14="http://schemas.microsoft.com/office/drawing/2010/main">
      <mc:Choice Requires="a14">
        <xdr:graphicFrame macro="">
          <xdr:nvGraphicFramePr>
            <xdr:cNvPr id="6" name="Payment Method 1">
              <a:extLst>
                <a:ext uri="{FF2B5EF4-FFF2-40B4-BE49-F238E27FC236}">
                  <a16:creationId xmlns:a16="http://schemas.microsoft.com/office/drawing/2014/main" id="{8EFB6BD3-EAF7-4705-9FB4-CAB66A81F1BE}"/>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2359640" y="0"/>
              <a:ext cx="1828800" cy="868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510540</xdr:colOff>
      <xdr:row>1</xdr:row>
      <xdr:rowOff>45720</xdr:rowOff>
    </xdr:from>
    <xdr:ext cx="2316480" cy="328295"/>
    <xdr:sp macro="" textlink="">
      <xdr:nvSpPr>
        <xdr:cNvPr id="8" name="TextBox 7">
          <a:extLst>
            <a:ext uri="{FF2B5EF4-FFF2-40B4-BE49-F238E27FC236}">
              <a16:creationId xmlns:a16="http://schemas.microsoft.com/office/drawing/2014/main" id="{0DF222B6-408F-755F-6E8F-A40147E069A6}"/>
            </a:ext>
          </a:extLst>
        </xdr:cNvPr>
        <xdr:cNvSpPr txBox="1"/>
      </xdr:nvSpPr>
      <xdr:spPr>
        <a:xfrm>
          <a:off x="5996940" y="228600"/>
          <a:ext cx="231648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i="1" u="sng">
              <a:latin typeface="Helvectica"/>
            </a:rPr>
            <a:t>REVENUE</a:t>
          </a:r>
          <a:r>
            <a:rPr lang="en-US" sz="1600" b="1" i="1" u="sng" baseline="0">
              <a:latin typeface="Helvectica"/>
            </a:rPr>
            <a:t> ANALYSIS</a:t>
          </a:r>
          <a:endParaRPr lang="en-US" sz="1600" b="1" i="1" u="sng">
            <a:latin typeface="Helvectica"/>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RO5" refreshedDate="46141.717420717592" createdVersion="8" refreshedVersion="8" minRefreshableVersion="3" recordCount="500" xr:uid="{761B0643-2F8A-4D4B-9C74-233468BBC879}">
  <cacheSource type="worksheet">
    <worksheetSource ref="A1:G501" sheet="Sales_Data"/>
  </cacheSource>
  <cacheFields count="9">
    <cacheField name="Date" numFmtId="15">
      <sharedItems containsSemiMixedTypes="0" containsNonDate="0" containsDate="1" containsString="0" minDate="2026-01-01T00:00:00" maxDate="2026-04-21T00:00:00" count="11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sharedItems>
      <fieldGroup par="8"/>
    </cacheField>
    <cacheField name="Item" numFmtId="0">
      <sharedItems count="12">
        <s v="Blueberry Muffin"/>
        <s v="Cappuccino"/>
        <s v="Chocolate Cake"/>
        <s v="Brownie"/>
        <s v="Green Tea"/>
        <s v="Americano"/>
        <s v="Croissant"/>
        <s v="Mocha"/>
        <s v="Cookie"/>
        <s v="Sandwich"/>
        <s v="Iced Coffee"/>
        <s v="Latte"/>
      </sharedItems>
    </cacheField>
    <cacheField name="Category" numFmtId="0">
      <sharedItems count="2">
        <s v="Food"/>
        <s v="Beverage"/>
      </sharedItems>
    </cacheField>
    <cacheField name="Price" numFmtId="164">
      <sharedItems containsSemiMixedTypes="0" containsString="0" containsNumber="1" containsInteger="1" minValue="90" maxValue="320"/>
    </cacheField>
    <cacheField name="Quantity" numFmtId="0">
      <sharedItems containsSemiMixedTypes="0" containsString="0" containsNumber="1" containsInteger="1" minValue="1" maxValue="5"/>
    </cacheField>
    <cacheField name="Payment Method" numFmtId="0">
      <sharedItems count="3">
        <s v="Card"/>
        <s v="Cash"/>
        <s v="Digital Wallet"/>
      </sharedItems>
    </cacheField>
    <cacheField name="Sales " numFmtId="165">
      <sharedItems containsSemiMixedTypes="0" containsString="0" containsNumber="1" containsInteger="1" minValue="90" maxValue="1600" count="37">
        <n v="180"/>
        <n v="900"/>
        <n v="420"/>
        <n v="1400"/>
        <n v="300"/>
        <n v="600"/>
        <n v="480"/>
        <n v="750"/>
        <n v="700"/>
        <n v="240"/>
        <n v="150"/>
        <n v="840"/>
        <n v="280"/>
        <n v="360"/>
        <n v="320"/>
        <n v="880"/>
        <n v="1120"/>
        <n v="90"/>
        <n v="120"/>
        <n v="960"/>
        <n v="450"/>
        <n v="660"/>
        <n v="1100"/>
        <n v="1280"/>
        <n v="540"/>
        <n v="140"/>
        <n v="1200"/>
        <n v="640"/>
        <n v="560"/>
        <n v="720"/>
        <n v="440"/>
        <n v="1050"/>
        <n v="210"/>
        <n v="270"/>
        <n v="220"/>
        <n v="630"/>
        <n v="1600"/>
      </sharedItems>
    </cacheField>
    <cacheField name="Days (Date)" numFmtId="0" databaseField="0">
      <fieldGroup base="0">
        <rangePr groupBy="days" startDate="2026-01-01T00:00:00" endDate="2026-04-2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21/2026"/>
        </groupItems>
      </fieldGroup>
    </cacheField>
    <cacheField name="Months (Date)" numFmtId="0" databaseField="0">
      <fieldGroup base="0">
        <rangePr groupBy="months" startDate="2026-01-01T00:00:00" endDate="2026-04-21T00:00:00"/>
        <groupItems count="14">
          <s v="&lt;1/1/2026"/>
          <s v="Jan"/>
          <s v="Feb"/>
          <s v="Mar"/>
          <s v="Apr"/>
          <s v="May"/>
          <s v="Jun"/>
          <s v="Jul"/>
          <s v="Aug"/>
          <s v="Sep"/>
          <s v="Oct"/>
          <s v="Nov"/>
          <s v="Dec"/>
          <s v="&gt;4/21/2026"/>
        </groupItems>
      </fieldGroup>
    </cacheField>
  </cacheFields>
  <extLst>
    <ext xmlns:x14="http://schemas.microsoft.com/office/spreadsheetml/2009/9/main" uri="{725AE2AE-9491-48be-B2B4-4EB974FC3084}">
      <x14:pivotCacheDefinition pivotCacheId="68561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180"/>
    <n v="1"/>
    <x v="0"/>
    <x v="0"/>
  </r>
  <r>
    <x v="0"/>
    <x v="0"/>
    <x v="0"/>
    <n v="180"/>
    <n v="5"/>
    <x v="0"/>
    <x v="1"/>
  </r>
  <r>
    <x v="0"/>
    <x v="1"/>
    <x v="1"/>
    <n v="210"/>
    <n v="2"/>
    <x v="0"/>
    <x v="2"/>
  </r>
  <r>
    <x v="0"/>
    <x v="2"/>
    <x v="0"/>
    <n v="280"/>
    <n v="5"/>
    <x v="0"/>
    <x v="3"/>
  </r>
  <r>
    <x v="0"/>
    <x v="3"/>
    <x v="0"/>
    <n v="150"/>
    <n v="2"/>
    <x v="1"/>
    <x v="4"/>
  </r>
  <r>
    <x v="0"/>
    <x v="3"/>
    <x v="0"/>
    <n v="150"/>
    <n v="4"/>
    <x v="2"/>
    <x v="5"/>
  </r>
  <r>
    <x v="0"/>
    <x v="4"/>
    <x v="1"/>
    <n v="120"/>
    <n v="4"/>
    <x v="2"/>
    <x v="6"/>
  </r>
  <r>
    <x v="1"/>
    <x v="5"/>
    <x v="1"/>
    <n v="150"/>
    <n v="5"/>
    <x v="0"/>
    <x v="7"/>
  </r>
  <r>
    <x v="1"/>
    <x v="5"/>
    <x v="1"/>
    <n v="150"/>
    <n v="4"/>
    <x v="0"/>
    <x v="5"/>
  </r>
  <r>
    <x v="1"/>
    <x v="6"/>
    <x v="0"/>
    <n v="140"/>
    <n v="5"/>
    <x v="0"/>
    <x v="8"/>
  </r>
  <r>
    <x v="1"/>
    <x v="7"/>
    <x v="1"/>
    <n v="240"/>
    <n v="1"/>
    <x v="1"/>
    <x v="9"/>
  </r>
  <r>
    <x v="1"/>
    <x v="5"/>
    <x v="1"/>
    <n v="150"/>
    <n v="1"/>
    <x v="2"/>
    <x v="10"/>
  </r>
  <r>
    <x v="1"/>
    <x v="2"/>
    <x v="0"/>
    <n v="280"/>
    <n v="5"/>
    <x v="2"/>
    <x v="3"/>
  </r>
  <r>
    <x v="2"/>
    <x v="2"/>
    <x v="0"/>
    <n v="280"/>
    <n v="3"/>
    <x v="0"/>
    <x v="11"/>
  </r>
  <r>
    <x v="2"/>
    <x v="2"/>
    <x v="0"/>
    <n v="280"/>
    <n v="1"/>
    <x v="2"/>
    <x v="12"/>
  </r>
  <r>
    <x v="2"/>
    <x v="8"/>
    <x v="0"/>
    <n v="90"/>
    <n v="4"/>
    <x v="2"/>
    <x v="13"/>
  </r>
  <r>
    <x v="2"/>
    <x v="4"/>
    <x v="1"/>
    <n v="120"/>
    <n v="2"/>
    <x v="2"/>
    <x v="9"/>
  </r>
  <r>
    <x v="3"/>
    <x v="8"/>
    <x v="0"/>
    <n v="90"/>
    <n v="4"/>
    <x v="0"/>
    <x v="13"/>
  </r>
  <r>
    <x v="3"/>
    <x v="9"/>
    <x v="0"/>
    <n v="320"/>
    <n v="1"/>
    <x v="1"/>
    <x v="14"/>
  </r>
  <r>
    <x v="3"/>
    <x v="5"/>
    <x v="1"/>
    <n v="150"/>
    <n v="1"/>
    <x v="2"/>
    <x v="10"/>
  </r>
  <r>
    <x v="3"/>
    <x v="10"/>
    <x v="1"/>
    <n v="180"/>
    <n v="1"/>
    <x v="2"/>
    <x v="0"/>
  </r>
  <r>
    <x v="3"/>
    <x v="10"/>
    <x v="1"/>
    <n v="180"/>
    <n v="2"/>
    <x v="2"/>
    <x v="13"/>
  </r>
  <r>
    <x v="4"/>
    <x v="4"/>
    <x v="1"/>
    <n v="120"/>
    <n v="3"/>
    <x v="0"/>
    <x v="13"/>
  </r>
  <r>
    <x v="4"/>
    <x v="11"/>
    <x v="1"/>
    <n v="220"/>
    <n v="4"/>
    <x v="0"/>
    <x v="15"/>
  </r>
  <r>
    <x v="4"/>
    <x v="2"/>
    <x v="0"/>
    <n v="280"/>
    <n v="4"/>
    <x v="2"/>
    <x v="16"/>
  </r>
  <r>
    <x v="4"/>
    <x v="7"/>
    <x v="1"/>
    <n v="240"/>
    <n v="2"/>
    <x v="2"/>
    <x v="6"/>
  </r>
  <r>
    <x v="5"/>
    <x v="4"/>
    <x v="1"/>
    <n v="120"/>
    <n v="5"/>
    <x v="0"/>
    <x v="5"/>
  </r>
  <r>
    <x v="5"/>
    <x v="8"/>
    <x v="0"/>
    <n v="90"/>
    <n v="1"/>
    <x v="2"/>
    <x v="17"/>
  </r>
  <r>
    <x v="6"/>
    <x v="0"/>
    <x v="0"/>
    <n v="180"/>
    <n v="1"/>
    <x v="0"/>
    <x v="0"/>
  </r>
  <r>
    <x v="6"/>
    <x v="8"/>
    <x v="0"/>
    <n v="90"/>
    <n v="4"/>
    <x v="0"/>
    <x v="13"/>
  </r>
  <r>
    <x v="6"/>
    <x v="4"/>
    <x v="1"/>
    <n v="120"/>
    <n v="1"/>
    <x v="1"/>
    <x v="18"/>
  </r>
  <r>
    <x v="6"/>
    <x v="8"/>
    <x v="0"/>
    <n v="90"/>
    <n v="4"/>
    <x v="2"/>
    <x v="13"/>
  </r>
  <r>
    <x v="6"/>
    <x v="4"/>
    <x v="1"/>
    <n v="120"/>
    <n v="3"/>
    <x v="2"/>
    <x v="13"/>
  </r>
  <r>
    <x v="7"/>
    <x v="0"/>
    <x v="0"/>
    <n v="180"/>
    <n v="2"/>
    <x v="0"/>
    <x v="13"/>
  </r>
  <r>
    <x v="7"/>
    <x v="3"/>
    <x v="0"/>
    <n v="150"/>
    <n v="4"/>
    <x v="0"/>
    <x v="5"/>
  </r>
  <r>
    <x v="7"/>
    <x v="3"/>
    <x v="0"/>
    <n v="150"/>
    <n v="4"/>
    <x v="0"/>
    <x v="5"/>
  </r>
  <r>
    <x v="7"/>
    <x v="2"/>
    <x v="0"/>
    <n v="280"/>
    <n v="3"/>
    <x v="0"/>
    <x v="11"/>
  </r>
  <r>
    <x v="7"/>
    <x v="7"/>
    <x v="1"/>
    <n v="240"/>
    <n v="4"/>
    <x v="0"/>
    <x v="19"/>
  </r>
  <r>
    <x v="7"/>
    <x v="5"/>
    <x v="1"/>
    <n v="150"/>
    <n v="3"/>
    <x v="1"/>
    <x v="20"/>
  </r>
  <r>
    <x v="7"/>
    <x v="4"/>
    <x v="1"/>
    <n v="120"/>
    <n v="4"/>
    <x v="1"/>
    <x v="6"/>
  </r>
  <r>
    <x v="7"/>
    <x v="11"/>
    <x v="1"/>
    <n v="220"/>
    <n v="3"/>
    <x v="1"/>
    <x v="21"/>
  </r>
  <r>
    <x v="7"/>
    <x v="11"/>
    <x v="1"/>
    <n v="220"/>
    <n v="5"/>
    <x v="1"/>
    <x v="22"/>
  </r>
  <r>
    <x v="7"/>
    <x v="10"/>
    <x v="1"/>
    <n v="180"/>
    <n v="5"/>
    <x v="2"/>
    <x v="1"/>
  </r>
  <r>
    <x v="7"/>
    <x v="9"/>
    <x v="0"/>
    <n v="320"/>
    <n v="3"/>
    <x v="2"/>
    <x v="19"/>
  </r>
  <r>
    <x v="7"/>
    <x v="9"/>
    <x v="0"/>
    <n v="320"/>
    <n v="4"/>
    <x v="2"/>
    <x v="23"/>
  </r>
  <r>
    <x v="8"/>
    <x v="3"/>
    <x v="0"/>
    <n v="150"/>
    <n v="5"/>
    <x v="1"/>
    <x v="7"/>
  </r>
  <r>
    <x v="8"/>
    <x v="10"/>
    <x v="1"/>
    <n v="180"/>
    <n v="3"/>
    <x v="2"/>
    <x v="24"/>
  </r>
  <r>
    <x v="8"/>
    <x v="11"/>
    <x v="1"/>
    <n v="220"/>
    <n v="3"/>
    <x v="2"/>
    <x v="21"/>
  </r>
  <r>
    <x v="9"/>
    <x v="3"/>
    <x v="0"/>
    <n v="150"/>
    <n v="3"/>
    <x v="0"/>
    <x v="20"/>
  </r>
  <r>
    <x v="9"/>
    <x v="6"/>
    <x v="0"/>
    <n v="140"/>
    <n v="2"/>
    <x v="0"/>
    <x v="12"/>
  </r>
  <r>
    <x v="9"/>
    <x v="10"/>
    <x v="1"/>
    <n v="180"/>
    <n v="1"/>
    <x v="1"/>
    <x v="0"/>
  </r>
  <r>
    <x v="10"/>
    <x v="6"/>
    <x v="0"/>
    <n v="140"/>
    <n v="1"/>
    <x v="1"/>
    <x v="25"/>
  </r>
  <r>
    <x v="10"/>
    <x v="3"/>
    <x v="0"/>
    <n v="150"/>
    <n v="2"/>
    <x v="2"/>
    <x v="4"/>
  </r>
  <r>
    <x v="11"/>
    <x v="5"/>
    <x v="1"/>
    <n v="150"/>
    <n v="4"/>
    <x v="0"/>
    <x v="5"/>
  </r>
  <r>
    <x v="11"/>
    <x v="11"/>
    <x v="1"/>
    <n v="220"/>
    <n v="4"/>
    <x v="0"/>
    <x v="15"/>
  </r>
  <r>
    <x v="11"/>
    <x v="7"/>
    <x v="1"/>
    <n v="240"/>
    <n v="5"/>
    <x v="0"/>
    <x v="26"/>
  </r>
  <r>
    <x v="11"/>
    <x v="3"/>
    <x v="0"/>
    <n v="150"/>
    <n v="5"/>
    <x v="1"/>
    <x v="7"/>
  </r>
  <r>
    <x v="11"/>
    <x v="3"/>
    <x v="0"/>
    <n v="150"/>
    <n v="2"/>
    <x v="1"/>
    <x v="4"/>
  </r>
  <r>
    <x v="11"/>
    <x v="9"/>
    <x v="0"/>
    <n v="320"/>
    <n v="2"/>
    <x v="1"/>
    <x v="27"/>
  </r>
  <r>
    <x v="11"/>
    <x v="5"/>
    <x v="1"/>
    <n v="150"/>
    <n v="2"/>
    <x v="2"/>
    <x v="4"/>
  </r>
  <r>
    <x v="11"/>
    <x v="3"/>
    <x v="0"/>
    <n v="150"/>
    <n v="4"/>
    <x v="2"/>
    <x v="5"/>
  </r>
  <r>
    <x v="12"/>
    <x v="8"/>
    <x v="0"/>
    <n v="90"/>
    <n v="5"/>
    <x v="0"/>
    <x v="20"/>
  </r>
  <r>
    <x v="12"/>
    <x v="11"/>
    <x v="1"/>
    <n v="220"/>
    <n v="3"/>
    <x v="1"/>
    <x v="21"/>
  </r>
  <r>
    <x v="13"/>
    <x v="0"/>
    <x v="0"/>
    <n v="180"/>
    <n v="1"/>
    <x v="0"/>
    <x v="0"/>
  </r>
  <r>
    <x v="13"/>
    <x v="3"/>
    <x v="0"/>
    <n v="150"/>
    <n v="5"/>
    <x v="0"/>
    <x v="7"/>
  </r>
  <r>
    <x v="13"/>
    <x v="9"/>
    <x v="0"/>
    <n v="320"/>
    <n v="3"/>
    <x v="2"/>
    <x v="19"/>
  </r>
  <r>
    <x v="14"/>
    <x v="5"/>
    <x v="1"/>
    <n v="150"/>
    <n v="5"/>
    <x v="0"/>
    <x v="7"/>
  </r>
  <r>
    <x v="14"/>
    <x v="3"/>
    <x v="0"/>
    <n v="150"/>
    <n v="2"/>
    <x v="0"/>
    <x v="4"/>
  </r>
  <r>
    <x v="14"/>
    <x v="2"/>
    <x v="0"/>
    <n v="280"/>
    <n v="5"/>
    <x v="0"/>
    <x v="3"/>
  </r>
  <r>
    <x v="14"/>
    <x v="6"/>
    <x v="0"/>
    <n v="140"/>
    <n v="2"/>
    <x v="1"/>
    <x v="12"/>
  </r>
  <r>
    <x v="14"/>
    <x v="5"/>
    <x v="1"/>
    <n v="150"/>
    <n v="1"/>
    <x v="2"/>
    <x v="10"/>
  </r>
  <r>
    <x v="15"/>
    <x v="3"/>
    <x v="0"/>
    <n v="150"/>
    <n v="1"/>
    <x v="0"/>
    <x v="10"/>
  </r>
  <r>
    <x v="15"/>
    <x v="0"/>
    <x v="0"/>
    <n v="180"/>
    <n v="3"/>
    <x v="1"/>
    <x v="24"/>
  </r>
  <r>
    <x v="15"/>
    <x v="0"/>
    <x v="0"/>
    <n v="180"/>
    <n v="2"/>
    <x v="1"/>
    <x v="13"/>
  </r>
  <r>
    <x v="15"/>
    <x v="4"/>
    <x v="1"/>
    <n v="120"/>
    <n v="5"/>
    <x v="1"/>
    <x v="5"/>
  </r>
  <r>
    <x v="16"/>
    <x v="6"/>
    <x v="0"/>
    <n v="140"/>
    <n v="4"/>
    <x v="0"/>
    <x v="28"/>
  </r>
  <r>
    <x v="16"/>
    <x v="10"/>
    <x v="1"/>
    <n v="180"/>
    <n v="5"/>
    <x v="1"/>
    <x v="1"/>
  </r>
  <r>
    <x v="17"/>
    <x v="8"/>
    <x v="0"/>
    <n v="90"/>
    <n v="2"/>
    <x v="2"/>
    <x v="0"/>
  </r>
  <r>
    <x v="18"/>
    <x v="5"/>
    <x v="1"/>
    <n v="150"/>
    <n v="3"/>
    <x v="0"/>
    <x v="20"/>
  </r>
  <r>
    <x v="18"/>
    <x v="6"/>
    <x v="0"/>
    <n v="140"/>
    <n v="1"/>
    <x v="0"/>
    <x v="25"/>
  </r>
  <r>
    <x v="18"/>
    <x v="7"/>
    <x v="1"/>
    <n v="240"/>
    <n v="5"/>
    <x v="0"/>
    <x v="26"/>
  </r>
  <r>
    <x v="18"/>
    <x v="2"/>
    <x v="0"/>
    <n v="280"/>
    <n v="3"/>
    <x v="1"/>
    <x v="11"/>
  </r>
  <r>
    <x v="18"/>
    <x v="1"/>
    <x v="1"/>
    <n v="210"/>
    <n v="4"/>
    <x v="2"/>
    <x v="11"/>
  </r>
  <r>
    <x v="18"/>
    <x v="2"/>
    <x v="0"/>
    <n v="280"/>
    <n v="4"/>
    <x v="2"/>
    <x v="16"/>
  </r>
  <r>
    <x v="18"/>
    <x v="8"/>
    <x v="0"/>
    <n v="90"/>
    <n v="5"/>
    <x v="2"/>
    <x v="20"/>
  </r>
  <r>
    <x v="18"/>
    <x v="7"/>
    <x v="1"/>
    <n v="240"/>
    <n v="1"/>
    <x v="2"/>
    <x v="9"/>
  </r>
  <r>
    <x v="18"/>
    <x v="7"/>
    <x v="1"/>
    <n v="240"/>
    <n v="3"/>
    <x v="2"/>
    <x v="29"/>
  </r>
  <r>
    <x v="18"/>
    <x v="7"/>
    <x v="1"/>
    <n v="240"/>
    <n v="4"/>
    <x v="2"/>
    <x v="19"/>
  </r>
  <r>
    <x v="19"/>
    <x v="8"/>
    <x v="0"/>
    <n v="90"/>
    <n v="1"/>
    <x v="0"/>
    <x v="17"/>
  </r>
  <r>
    <x v="19"/>
    <x v="11"/>
    <x v="1"/>
    <n v="220"/>
    <n v="2"/>
    <x v="1"/>
    <x v="30"/>
  </r>
  <r>
    <x v="19"/>
    <x v="6"/>
    <x v="0"/>
    <n v="140"/>
    <n v="2"/>
    <x v="2"/>
    <x v="12"/>
  </r>
  <r>
    <x v="19"/>
    <x v="4"/>
    <x v="1"/>
    <n v="120"/>
    <n v="4"/>
    <x v="2"/>
    <x v="6"/>
  </r>
  <r>
    <x v="19"/>
    <x v="7"/>
    <x v="1"/>
    <n v="240"/>
    <n v="2"/>
    <x v="2"/>
    <x v="6"/>
  </r>
  <r>
    <x v="20"/>
    <x v="5"/>
    <x v="1"/>
    <n v="150"/>
    <n v="5"/>
    <x v="0"/>
    <x v="7"/>
  </r>
  <r>
    <x v="20"/>
    <x v="5"/>
    <x v="1"/>
    <n v="150"/>
    <n v="4"/>
    <x v="0"/>
    <x v="5"/>
  </r>
  <r>
    <x v="20"/>
    <x v="1"/>
    <x v="1"/>
    <n v="210"/>
    <n v="4"/>
    <x v="0"/>
    <x v="11"/>
  </r>
  <r>
    <x v="20"/>
    <x v="8"/>
    <x v="0"/>
    <n v="90"/>
    <n v="5"/>
    <x v="0"/>
    <x v="20"/>
  </r>
  <r>
    <x v="21"/>
    <x v="4"/>
    <x v="1"/>
    <n v="120"/>
    <n v="1"/>
    <x v="0"/>
    <x v="18"/>
  </r>
  <r>
    <x v="21"/>
    <x v="10"/>
    <x v="1"/>
    <n v="180"/>
    <n v="5"/>
    <x v="0"/>
    <x v="1"/>
  </r>
  <r>
    <x v="21"/>
    <x v="2"/>
    <x v="0"/>
    <n v="280"/>
    <n v="2"/>
    <x v="2"/>
    <x v="28"/>
  </r>
  <r>
    <x v="22"/>
    <x v="3"/>
    <x v="0"/>
    <n v="150"/>
    <n v="3"/>
    <x v="1"/>
    <x v="20"/>
  </r>
  <r>
    <x v="22"/>
    <x v="2"/>
    <x v="0"/>
    <n v="280"/>
    <n v="3"/>
    <x v="1"/>
    <x v="11"/>
  </r>
  <r>
    <x v="22"/>
    <x v="4"/>
    <x v="1"/>
    <n v="120"/>
    <n v="3"/>
    <x v="1"/>
    <x v="13"/>
  </r>
  <r>
    <x v="22"/>
    <x v="9"/>
    <x v="0"/>
    <n v="320"/>
    <n v="4"/>
    <x v="1"/>
    <x v="23"/>
  </r>
  <r>
    <x v="23"/>
    <x v="5"/>
    <x v="1"/>
    <n v="150"/>
    <n v="2"/>
    <x v="0"/>
    <x v="4"/>
  </r>
  <r>
    <x v="23"/>
    <x v="10"/>
    <x v="1"/>
    <n v="180"/>
    <n v="3"/>
    <x v="0"/>
    <x v="24"/>
  </r>
  <r>
    <x v="23"/>
    <x v="10"/>
    <x v="1"/>
    <n v="180"/>
    <n v="5"/>
    <x v="0"/>
    <x v="1"/>
  </r>
  <r>
    <x v="23"/>
    <x v="9"/>
    <x v="0"/>
    <n v="320"/>
    <n v="1"/>
    <x v="0"/>
    <x v="14"/>
  </r>
  <r>
    <x v="23"/>
    <x v="1"/>
    <x v="1"/>
    <n v="210"/>
    <n v="4"/>
    <x v="1"/>
    <x v="11"/>
  </r>
  <r>
    <x v="23"/>
    <x v="2"/>
    <x v="0"/>
    <n v="280"/>
    <n v="5"/>
    <x v="1"/>
    <x v="3"/>
  </r>
  <r>
    <x v="23"/>
    <x v="1"/>
    <x v="1"/>
    <n v="210"/>
    <n v="5"/>
    <x v="2"/>
    <x v="31"/>
  </r>
  <r>
    <x v="23"/>
    <x v="4"/>
    <x v="1"/>
    <n v="120"/>
    <n v="4"/>
    <x v="2"/>
    <x v="6"/>
  </r>
  <r>
    <x v="24"/>
    <x v="0"/>
    <x v="0"/>
    <n v="180"/>
    <n v="5"/>
    <x v="1"/>
    <x v="1"/>
  </r>
  <r>
    <x v="24"/>
    <x v="4"/>
    <x v="1"/>
    <n v="120"/>
    <n v="3"/>
    <x v="1"/>
    <x v="13"/>
  </r>
  <r>
    <x v="24"/>
    <x v="7"/>
    <x v="1"/>
    <n v="240"/>
    <n v="3"/>
    <x v="1"/>
    <x v="29"/>
  </r>
  <r>
    <x v="24"/>
    <x v="2"/>
    <x v="0"/>
    <n v="280"/>
    <n v="4"/>
    <x v="2"/>
    <x v="16"/>
  </r>
  <r>
    <x v="25"/>
    <x v="11"/>
    <x v="1"/>
    <n v="220"/>
    <n v="3"/>
    <x v="0"/>
    <x v="21"/>
  </r>
  <r>
    <x v="25"/>
    <x v="9"/>
    <x v="0"/>
    <n v="320"/>
    <n v="3"/>
    <x v="0"/>
    <x v="19"/>
  </r>
  <r>
    <x v="25"/>
    <x v="3"/>
    <x v="0"/>
    <n v="150"/>
    <n v="5"/>
    <x v="1"/>
    <x v="7"/>
  </r>
  <r>
    <x v="25"/>
    <x v="3"/>
    <x v="0"/>
    <n v="150"/>
    <n v="1"/>
    <x v="1"/>
    <x v="10"/>
  </r>
  <r>
    <x v="25"/>
    <x v="4"/>
    <x v="1"/>
    <n v="120"/>
    <n v="3"/>
    <x v="1"/>
    <x v="13"/>
  </r>
  <r>
    <x v="25"/>
    <x v="4"/>
    <x v="1"/>
    <n v="120"/>
    <n v="4"/>
    <x v="2"/>
    <x v="6"/>
  </r>
  <r>
    <x v="25"/>
    <x v="11"/>
    <x v="1"/>
    <n v="220"/>
    <n v="2"/>
    <x v="2"/>
    <x v="30"/>
  </r>
  <r>
    <x v="26"/>
    <x v="8"/>
    <x v="0"/>
    <n v="90"/>
    <n v="4"/>
    <x v="0"/>
    <x v="13"/>
  </r>
  <r>
    <x v="26"/>
    <x v="10"/>
    <x v="1"/>
    <n v="180"/>
    <n v="1"/>
    <x v="1"/>
    <x v="0"/>
  </r>
  <r>
    <x v="26"/>
    <x v="7"/>
    <x v="1"/>
    <n v="240"/>
    <n v="5"/>
    <x v="1"/>
    <x v="26"/>
  </r>
  <r>
    <x v="26"/>
    <x v="1"/>
    <x v="1"/>
    <n v="210"/>
    <n v="1"/>
    <x v="2"/>
    <x v="32"/>
  </r>
  <r>
    <x v="27"/>
    <x v="11"/>
    <x v="1"/>
    <n v="220"/>
    <n v="3"/>
    <x v="0"/>
    <x v="21"/>
  </r>
  <r>
    <x v="27"/>
    <x v="11"/>
    <x v="1"/>
    <n v="220"/>
    <n v="2"/>
    <x v="2"/>
    <x v="30"/>
  </r>
  <r>
    <x v="28"/>
    <x v="0"/>
    <x v="0"/>
    <n v="180"/>
    <n v="4"/>
    <x v="0"/>
    <x v="29"/>
  </r>
  <r>
    <x v="28"/>
    <x v="0"/>
    <x v="0"/>
    <n v="180"/>
    <n v="5"/>
    <x v="0"/>
    <x v="1"/>
  </r>
  <r>
    <x v="28"/>
    <x v="9"/>
    <x v="0"/>
    <n v="320"/>
    <n v="1"/>
    <x v="0"/>
    <x v="14"/>
  </r>
  <r>
    <x v="28"/>
    <x v="5"/>
    <x v="1"/>
    <n v="150"/>
    <n v="4"/>
    <x v="2"/>
    <x v="5"/>
  </r>
  <r>
    <x v="28"/>
    <x v="8"/>
    <x v="0"/>
    <n v="90"/>
    <n v="3"/>
    <x v="2"/>
    <x v="33"/>
  </r>
  <r>
    <x v="29"/>
    <x v="5"/>
    <x v="1"/>
    <n v="150"/>
    <n v="1"/>
    <x v="0"/>
    <x v="10"/>
  </r>
  <r>
    <x v="29"/>
    <x v="5"/>
    <x v="1"/>
    <n v="150"/>
    <n v="4"/>
    <x v="0"/>
    <x v="5"/>
  </r>
  <r>
    <x v="29"/>
    <x v="5"/>
    <x v="1"/>
    <n v="150"/>
    <n v="5"/>
    <x v="1"/>
    <x v="7"/>
  </r>
  <r>
    <x v="29"/>
    <x v="11"/>
    <x v="1"/>
    <n v="220"/>
    <n v="3"/>
    <x v="1"/>
    <x v="21"/>
  </r>
  <r>
    <x v="29"/>
    <x v="11"/>
    <x v="1"/>
    <n v="220"/>
    <n v="4"/>
    <x v="2"/>
    <x v="15"/>
  </r>
  <r>
    <x v="30"/>
    <x v="4"/>
    <x v="1"/>
    <n v="120"/>
    <n v="5"/>
    <x v="0"/>
    <x v="5"/>
  </r>
  <r>
    <x v="30"/>
    <x v="2"/>
    <x v="0"/>
    <n v="280"/>
    <n v="2"/>
    <x v="1"/>
    <x v="28"/>
  </r>
  <r>
    <x v="30"/>
    <x v="0"/>
    <x v="0"/>
    <n v="180"/>
    <n v="5"/>
    <x v="2"/>
    <x v="1"/>
  </r>
  <r>
    <x v="31"/>
    <x v="2"/>
    <x v="0"/>
    <n v="280"/>
    <n v="3"/>
    <x v="0"/>
    <x v="11"/>
  </r>
  <r>
    <x v="31"/>
    <x v="11"/>
    <x v="1"/>
    <n v="220"/>
    <n v="4"/>
    <x v="0"/>
    <x v="15"/>
  </r>
  <r>
    <x v="31"/>
    <x v="9"/>
    <x v="0"/>
    <n v="320"/>
    <n v="4"/>
    <x v="0"/>
    <x v="23"/>
  </r>
  <r>
    <x v="31"/>
    <x v="9"/>
    <x v="0"/>
    <n v="320"/>
    <n v="1"/>
    <x v="1"/>
    <x v="14"/>
  </r>
  <r>
    <x v="32"/>
    <x v="5"/>
    <x v="1"/>
    <n v="150"/>
    <n v="1"/>
    <x v="0"/>
    <x v="10"/>
  </r>
  <r>
    <x v="32"/>
    <x v="6"/>
    <x v="0"/>
    <n v="140"/>
    <n v="3"/>
    <x v="0"/>
    <x v="2"/>
  </r>
  <r>
    <x v="32"/>
    <x v="4"/>
    <x v="1"/>
    <n v="120"/>
    <n v="4"/>
    <x v="0"/>
    <x v="6"/>
  </r>
  <r>
    <x v="32"/>
    <x v="4"/>
    <x v="1"/>
    <n v="120"/>
    <n v="2"/>
    <x v="0"/>
    <x v="9"/>
  </r>
  <r>
    <x v="32"/>
    <x v="10"/>
    <x v="1"/>
    <n v="180"/>
    <n v="1"/>
    <x v="0"/>
    <x v="0"/>
  </r>
  <r>
    <x v="32"/>
    <x v="0"/>
    <x v="0"/>
    <n v="180"/>
    <n v="4"/>
    <x v="1"/>
    <x v="29"/>
  </r>
  <r>
    <x v="32"/>
    <x v="3"/>
    <x v="0"/>
    <n v="150"/>
    <n v="4"/>
    <x v="1"/>
    <x v="5"/>
  </r>
  <r>
    <x v="32"/>
    <x v="6"/>
    <x v="0"/>
    <n v="140"/>
    <n v="1"/>
    <x v="1"/>
    <x v="25"/>
  </r>
  <r>
    <x v="32"/>
    <x v="8"/>
    <x v="0"/>
    <n v="90"/>
    <n v="3"/>
    <x v="2"/>
    <x v="33"/>
  </r>
  <r>
    <x v="32"/>
    <x v="10"/>
    <x v="1"/>
    <n v="180"/>
    <n v="3"/>
    <x v="2"/>
    <x v="24"/>
  </r>
  <r>
    <x v="33"/>
    <x v="5"/>
    <x v="1"/>
    <n v="150"/>
    <n v="5"/>
    <x v="0"/>
    <x v="7"/>
  </r>
  <r>
    <x v="33"/>
    <x v="0"/>
    <x v="0"/>
    <n v="180"/>
    <n v="1"/>
    <x v="0"/>
    <x v="0"/>
  </r>
  <r>
    <x v="33"/>
    <x v="1"/>
    <x v="1"/>
    <n v="210"/>
    <n v="1"/>
    <x v="0"/>
    <x v="32"/>
  </r>
  <r>
    <x v="33"/>
    <x v="1"/>
    <x v="1"/>
    <n v="210"/>
    <n v="1"/>
    <x v="0"/>
    <x v="32"/>
  </r>
  <r>
    <x v="33"/>
    <x v="6"/>
    <x v="0"/>
    <n v="140"/>
    <n v="2"/>
    <x v="0"/>
    <x v="12"/>
  </r>
  <r>
    <x v="33"/>
    <x v="10"/>
    <x v="1"/>
    <n v="180"/>
    <n v="1"/>
    <x v="0"/>
    <x v="0"/>
  </r>
  <r>
    <x v="34"/>
    <x v="1"/>
    <x v="1"/>
    <n v="210"/>
    <n v="1"/>
    <x v="0"/>
    <x v="32"/>
  </r>
  <r>
    <x v="34"/>
    <x v="2"/>
    <x v="0"/>
    <n v="280"/>
    <n v="1"/>
    <x v="0"/>
    <x v="12"/>
  </r>
  <r>
    <x v="34"/>
    <x v="10"/>
    <x v="1"/>
    <n v="180"/>
    <n v="2"/>
    <x v="0"/>
    <x v="13"/>
  </r>
  <r>
    <x v="34"/>
    <x v="1"/>
    <x v="1"/>
    <n v="210"/>
    <n v="2"/>
    <x v="2"/>
    <x v="2"/>
  </r>
  <r>
    <x v="34"/>
    <x v="10"/>
    <x v="1"/>
    <n v="180"/>
    <n v="1"/>
    <x v="2"/>
    <x v="0"/>
  </r>
  <r>
    <x v="34"/>
    <x v="10"/>
    <x v="1"/>
    <n v="180"/>
    <n v="5"/>
    <x v="2"/>
    <x v="1"/>
  </r>
  <r>
    <x v="34"/>
    <x v="7"/>
    <x v="1"/>
    <n v="240"/>
    <n v="1"/>
    <x v="2"/>
    <x v="9"/>
  </r>
  <r>
    <x v="35"/>
    <x v="10"/>
    <x v="1"/>
    <n v="180"/>
    <n v="1"/>
    <x v="0"/>
    <x v="0"/>
  </r>
  <r>
    <x v="35"/>
    <x v="7"/>
    <x v="1"/>
    <n v="240"/>
    <n v="3"/>
    <x v="0"/>
    <x v="29"/>
  </r>
  <r>
    <x v="35"/>
    <x v="5"/>
    <x v="1"/>
    <n v="150"/>
    <n v="3"/>
    <x v="1"/>
    <x v="20"/>
  </r>
  <r>
    <x v="35"/>
    <x v="3"/>
    <x v="0"/>
    <n v="150"/>
    <n v="5"/>
    <x v="2"/>
    <x v="7"/>
  </r>
  <r>
    <x v="35"/>
    <x v="10"/>
    <x v="1"/>
    <n v="180"/>
    <n v="2"/>
    <x v="2"/>
    <x v="13"/>
  </r>
  <r>
    <x v="35"/>
    <x v="11"/>
    <x v="1"/>
    <n v="220"/>
    <n v="1"/>
    <x v="2"/>
    <x v="34"/>
  </r>
  <r>
    <x v="36"/>
    <x v="0"/>
    <x v="0"/>
    <n v="180"/>
    <n v="5"/>
    <x v="0"/>
    <x v="1"/>
  </r>
  <r>
    <x v="36"/>
    <x v="10"/>
    <x v="1"/>
    <n v="180"/>
    <n v="5"/>
    <x v="0"/>
    <x v="1"/>
  </r>
  <r>
    <x v="36"/>
    <x v="5"/>
    <x v="1"/>
    <n v="150"/>
    <n v="3"/>
    <x v="1"/>
    <x v="20"/>
  </r>
  <r>
    <x v="36"/>
    <x v="7"/>
    <x v="1"/>
    <n v="240"/>
    <n v="2"/>
    <x v="1"/>
    <x v="6"/>
  </r>
  <r>
    <x v="36"/>
    <x v="8"/>
    <x v="0"/>
    <n v="90"/>
    <n v="1"/>
    <x v="2"/>
    <x v="17"/>
  </r>
  <r>
    <x v="37"/>
    <x v="11"/>
    <x v="1"/>
    <n v="220"/>
    <n v="2"/>
    <x v="0"/>
    <x v="30"/>
  </r>
  <r>
    <x v="37"/>
    <x v="1"/>
    <x v="1"/>
    <n v="210"/>
    <n v="3"/>
    <x v="1"/>
    <x v="35"/>
  </r>
  <r>
    <x v="37"/>
    <x v="4"/>
    <x v="1"/>
    <n v="120"/>
    <n v="3"/>
    <x v="2"/>
    <x v="13"/>
  </r>
  <r>
    <x v="38"/>
    <x v="11"/>
    <x v="1"/>
    <n v="220"/>
    <n v="3"/>
    <x v="0"/>
    <x v="21"/>
  </r>
  <r>
    <x v="38"/>
    <x v="8"/>
    <x v="0"/>
    <n v="90"/>
    <n v="1"/>
    <x v="1"/>
    <x v="17"/>
  </r>
  <r>
    <x v="38"/>
    <x v="0"/>
    <x v="0"/>
    <n v="180"/>
    <n v="3"/>
    <x v="2"/>
    <x v="24"/>
  </r>
  <r>
    <x v="38"/>
    <x v="3"/>
    <x v="0"/>
    <n v="150"/>
    <n v="2"/>
    <x v="2"/>
    <x v="4"/>
  </r>
  <r>
    <x v="39"/>
    <x v="1"/>
    <x v="1"/>
    <n v="210"/>
    <n v="2"/>
    <x v="0"/>
    <x v="2"/>
  </r>
  <r>
    <x v="39"/>
    <x v="8"/>
    <x v="0"/>
    <n v="90"/>
    <n v="3"/>
    <x v="0"/>
    <x v="33"/>
  </r>
  <r>
    <x v="39"/>
    <x v="4"/>
    <x v="1"/>
    <n v="120"/>
    <n v="5"/>
    <x v="1"/>
    <x v="5"/>
  </r>
  <r>
    <x v="39"/>
    <x v="2"/>
    <x v="0"/>
    <n v="280"/>
    <n v="2"/>
    <x v="2"/>
    <x v="28"/>
  </r>
  <r>
    <x v="39"/>
    <x v="11"/>
    <x v="1"/>
    <n v="220"/>
    <n v="3"/>
    <x v="2"/>
    <x v="21"/>
  </r>
  <r>
    <x v="40"/>
    <x v="9"/>
    <x v="0"/>
    <n v="320"/>
    <n v="5"/>
    <x v="0"/>
    <x v="36"/>
  </r>
  <r>
    <x v="41"/>
    <x v="8"/>
    <x v="0"/>
    <n v="90"/>
    <n v="5"/>
    <x v="0"/>
    <x v="20"/>
  </r>
  <r>
    <x v="41"/>
    <x v="6"/>
    <x v="0"/>
    <n v="140"/>
    <n v="4"/>
    <x v="0"/>
    <x v="28"/>
  </r>
  <r>
    <x v="41"/>
    <x v="7"/>
    <x v="1"/>
    <n v="240"/>
    <n v="3"/>
    <x v="2"/>
    <x v="29"/>
  </r>
  <r>
    <x v="42"/>
    <x v="6"/>
    <x v="0"/>
    <n v="140"/>
    <n v="5"/>
    <x v="1"/>
    <x v="8"/>
  </r>
  <r>
    <x v="43"/>
    <x v="4"/>
    <x v="1"/>
    <n v="120"/>
    <n v="2"/>
    <x v="0"/>
    <x v="9"/>
  </r>
  <r>
    <x v="43"/>
    <x v="7"/>
    <x v="1"/>
    <n v="240"/>
    <n v="3"/>
    <x v="0"/>
    <x v="29"/>
  </r>
  <r>
    <x v="43"/>
    <x v="1"/>
    <x v="1"/>
    <n v="210"/>
    <n v="2"/>
    <x v="1"/>
    <x v="2"/>
  </r>
  <r>
    <x v="43"/>
    <x v="10"/>
    <x v="1"/>
    <n v="180"/>
    <n v="4"/>
    <x v="1"/>
    <x v="29"/>
  </r>
  <r>
    <x v="43"/>
    <x v="4"/>
    <x v="1"/>
    <n v="120"/>
    <n v="5"/>
    <x v="2"/>
    <x v="5"/>
  </r>
  <r>
    <x v="44"/>
    <x v="7"/>
    <x v="1"/>
    <n v="240"/>
    <n v="2"/>
    <x v="1"/>
    <x v="6"/>
  </r>
  <r>
    <x v="44"/>
    <x v="2"/>
    <x v="0"/>
    <n v="280"/>
    <n v="3"/>
    <x v="2"/>
    <x v="11"/>
  </r>
  <r>
    <x v="45"/>
    <x v="9"/>
    <x v="0"/>
    <n v="320"/>
    <n v="1"/>
    <x v="0"/>
    <x v="14"/>
  </r>
  <r>
    <x v="45"/>
    <x v="4"/>
    <x v="1"/>
    <n v="120"/>
    <n v="5"/>
    <x v="1"/>
    <x v="5"/>
  </r>
  <r>
    <x v="45"/>
    <x v="4"/>
    <x v="1"/>
    <n v="120"/>
    <n v="3"/>
    <x v="2"/>
    <x v="13"/>
  </r>
  <r>
    <x v="45"/>
    <x v="10"/>
    <x v="1"/>
    <n v="180"/>
    <n v="4"/>
    <x v="2"/>
    <x v="29"/>
  </r>
  <r>
    <x v="45"/>
    <x v="11"/>
    <x v="1"/>
    <n v="220"/>
    <n v="4"/>
    <x v="2"/>
    <x v="15"/>
  </r>
  <r>
    <x v="45"/>
    <x v="7"/>
    <x v="1"/>
    <n v="240"/>
    <n v="5"/>
    <x v="2"/>
    <x v="26"/>
  </r>
  <r>
    <x v="46"/>
    <x v="2"/>
    <x v="0"/>
    <n v="280"/>
    <n v="5"/>
    <x v="0"/>
    <x v="3"/>
  </r>
  <r>
    <x v="46"/>
    <x v="1"/>
    <x v="1"/>
    <n v="210"/>
    <n v="1"/>
    <x v="1"/>
    <x v="32"/>
  </r>
  <r>
    <x v="46"/>
    <x v="8"/>
    <x v="0"/>
    <n v="90"/>
    <n v="3"/>
    <x v="2"/>
    <x v="33"/>
  </r>
  <r>
    <x v="46"/>
    <x v="6"/>
    <x v="0"/>
    <n v="140"/>
    <n v="3"/>
    <x v="2"/>
    <x v="2"/>
  </r>
  <r>
    <x v="46"/>
    <x v="11"/>
    <x v="1"/>
    <n v="220"/>
    <n v="1"/>
    <x v="2"/>
    <x v="34"/>
  </r>
  <r>
    <x v="47"/>
    <x v="8"/>
    <x v="0"/>
    <n v="90"/>
    <n v="5"/>
    <x v="0"/>
    <x v="20"/>
  </r>
  <r>
    <x v="47"/>
    <x v="2"/>
    <x v="0"/>
    <n v="280"/>
    <n v="5"/>
    <x v="2"/>
    <x v="3"/>
  </r>
  <r>
    <x v="48"/>
    <x v="5"/>
    <x v="1"/>
    <n v="150"/>
    <n v="4"/>
    <x v="0"/>
    <x v="5"/>
  </r>
  <r>
    <x v="48"/>
    <x v="7"/>
    <x v="1"/>
    <n v="240"/>
    <n v="4"/>
    <x v="0"/>
    <x v="19"/>
  </r>
  <r>
    <x v="48"/>
    <x v="4"/>
    <x v="1"/>
    <n v="120"/>
    <n v="4"/>
    <x v="2"/>
    <x v="6"/>
  </r>
  <r>
    <x v="48"/>
    <x v="4"/>
    <x v="1"/>
    <n v="120"/>
    <n v="2"/>
    <x v="2"/>
    <x v="9"/>
  </r>
  <r>
    <x v="48"/>
    <x v="7"/>
    <x v="1"/>
    <n v="240"/>
    <n v="4"/>
    <x v="2"/>
    <x v="19"/>
  </r>
  <r>
    <x v="48"/>
    <x v="7"/>
    <x v="1"/>
    <n v="240"/>
    <n v="2"/>
    <x v="2"/>
    <x v="6"/>
  </r>
  <r>
    <x v="48"/>
    <x v="9"/>
    <x v="0"/>
    <n v="320"/>
    <n v="5"/>
    <x v="2"/>
    <x v="36"/>
  </r>
  <r>
    <x v="49"/>
    <x v="0"/>
    <x v="0"/>
    <n v="180"/>
    <n v="2"/>
    <x v="0"/>
    <x v="13"/>
  </r>
  <r>
    <x v="49"/>
    <x v="3"/>
    <x v="0"/>
    <n v="150"/>
    <n v="3"/>
    <x v="1"/>
    <x v="20"/>
  </r>
  <r>
    <x v="49"/>
    <x v="1"/>
    <x v="1"/>
    <n v="210"/>
    <n v="4"/>
    <x v="1"/>
    <x v="11"/>
  </r>
  <r>
    <x v="50"/>
    <x v="2"/>
    <x v="0"/>
    <n v="280"/>
    <n v="1"/>
    <x v="0"/>
    <x v="12"/>
  </r>
  <r>
    <x v="50"/>
    <x v="10"/>
    <x v="1"/>
    <n v="180"/>
    <n v="1"/>
    <x v="0"/>
    <x v="0"/>
  </r>
  <r>
    <x v="50"/>
    <x v="7"/>
    <x v="1"/>
    <n v="240"/>
    <n v="1"/>
    <x v="0"/>
    <x v="9"/>
  </r>
  <r>
    <x v="50"/>
    <x v="6"/>
    <x v="0"/>
    <n v="140"/>
    <n v="2"/>
    <x v="1"/>
    <x v="12"/>
  </r>
  <r>
    <x v="51"/>
    <x v="8"/>
    <x v="0"/>
    <n v="90"/>
    <n v="5"/>
    <x v="0"/>
    <x v="20"/>
  </r>
  <r>
    <x v="51"/>
    <x v="11"/>
    <x v="1"/>
    <n v="220"/>
    <n v="4"/>
    <x v="2"/>
    <x v="15"/>
  </r>
  <r>
    <x v="52"/>
    <x v="3"/>
    <x v="0"/>
    <n v="150"/>
    <n v="2"/>
    <x v="1"/>
    <x v="4"/>
  </r>
  <r>
    <x v="52"/>
    <x v="2"/>
    <x v="0"/>
    <n v="280"/>
    <n v="1"/>
    <x v="1"/>
    <x v="12"/>
  </r>
  <r>
    <x v="52"/>
    <x v="10"/>
    <x v="1"/>
    <n v="180"/>
    <n v="5"/>
    <x v="1"/>
    <x v="1"/>
  </r>
  <r>
    <x v="52"/>
    <x v="0"/>
    <x v="0"/>
    <n v="180"/>
    <n v="4"/>
    <x v="2"/>
    <x v="29"/>
  </r>
  <r>
    <x v="52"/>
    <x v="0"/>
    <x v="0"/>
    <n v="180"/>
    <n v="3"/>
    <x v="2"/>
    <x v="24"/>
  </r>
  <r>
    <x v="52"/>
    <x v="0"/>
    <x v="0"/>
    <n v="180"/>
    <n v="2"/>
    <x v="2"/>
    <x v="13"/>
  </r>
  <r>
    <x v="52"/>
    <x v="1"/>
    <x v="1"/>
    <n v="210"/>
    <n v="4"/>
    <x v="2"/>
    <x v="11"/>
  </r>
  <r>
    <x v="52"/>
    <x v="2"/>
    <x v="0"/>
    <n v="280"/>
    <n v="2"/>
    <x v="2"/>
    <x v="28"/>
  </r>
  <r>
    <x v="53"/>
    <x v="2"/>
    <x v="0"/>
    <n v="280"/>
    <n v="3"/>
    <x v="0"/>
    <x v="11"/>
  </r>
  <r>
    <x v="53"/>
    <x v="10"/>
    <x v="1"/>
    <n v="180"/>
    <n v="3"/>
    <x v="0"/>
    <x v="24"/>
  </r>
  <r>
    <x v="53"/>
    <x v="9"/>
    <x v="0"/>
    <n v="320"/>
    <n v="4"/>
    <x v="0"/>
    <x v="23"/>
  </r>
  <r>
    <x v="53"/>
    <x v="3"/>
    <x v="0"/>
    <n v="150"/>
    <n v="4"/>
    <x v="1"/>
    <x v="5"/>
  </r>
  <r>
    <x v="53"/>
    <x v="2"/>
    <x v="0"/>
    <n v="280"/>
    <n v="3"/>
    <x v="1"/>
    <x v="11"/>
  </r>
  <r>
    <x v="54"/>
    <x v="2"/>
    <x v="0"/>
    <n v="280"/>
    <n v="3"/>
    <x v="0"/>
    <x v="11"/>
  </r>
  <r>
    <x v="54"/>
    <x v="3"/>
    <x v="0"/>
    <n v="150"/>
    <n v="5"/>
    <x v="1"/>
    <x v="7"/>
  </r>
  <r>
    <x v="54"/>
    <x v="2"/>
    <x v="0"/>
    <n v="280"/>
    <n v="1"/>
    <x v="1"/>
    <x v="12"/>
  </r>
  <r>
    <x v="54"/>
    <x v="11"/>
    <x v="1"/>
    <n v="220"/>
    <n v="2"/>
    <x v="1"/>
    <x v="30"/>
  </r>
  <r>
    <x v="54"/>
    <x v="1"/>
    <x v="1"/>
    <n v="210"/>
    <n v="2"/>
    <x v="2"/>
    <x v="2"/>
  </r>
  <r>
    <x v="55"/>
    <x v="5"/>
    <x v="1"/>
    <n v="150"/>
    <n v="3"/>
    <x v="0"/>
    <x v="20"/>
  </r>
  <r>
    <x v="55"/>
    <x v="5"/>
    <x v="1"/>
    <n v="150"/>
    <n v="5"/>
    <x v="2"/>
    <x v="7"/>
  </r>
  <r>
    <x v="55"/>
    <x v="6"/>
    <x v="0"/>
    <n v="140"/>
    <n v="5"/>
    <x v="2"/>
    <x v="8"/>
  </r>
  <r>
    <x v="55"/>
    <x v="6"/>
    <x v="0"/>
    <n v="140"/>
    <n v="1"/>
    <x v="2"/>
    <x v="25"/>
  </r>
  <r>
    <x v="55"/>
    <x v="9"/>
    <x v="0"/>
    <n v="320"/>
    <n v="1"/>
    <x v="2"/>
    <x v="14"/>
  </r>
  <r>
    <x v="56"/>
    <x v="11"/>
    <x v="1"/>
    <n v="220"/>
    <n v="1"/>
    <x v="1"/>
    <x v="34"/>
  </r>
  <r>
    <x v="56"/>
    <x v="4"/>
    <x v="1"/>
    <n v="120"/>
    <n v="4"/>
    <x v="2"/>
    <x v="6"/>
  </r>
  <r>
    <x v="57"/>
    <x v="1"/>
    <x v="1"/>
    <n v="210"/>
    <n v="2"/>
    <x v="0"/>
    <x v="2"/>
  </r>
  <r>
    <x v="57"/>
    <x v="4"/>
    <x v="1"/>
    <n v="120"/>
    <n v="2"/>
    <x v="0"/>
    <x v="9"/>
  </r>
  <r>
    <x v="57"/>
    <x v="10"/>
    <x v="1"/>
    <n v="180"/>
    <n v="5"/>
    <x v="1"/>
    <x v="1"/>
  </r>
  <r>
    <x v="58"/>
    <x v="2"/>
    <x v="0"/>
    <n v="280"/>
    <n v="1"/>
    <x v="0"/>
    <x v="12"/>
  </r>
  <r>
    <x v="58"/>
    <x v="10"/>
    <x v="1"/>
    <n v="180"/>
    <n v="5"/>
    <x v="2"/>
    <x v="1"/>
  </r>
  <r>
    <x v="58"/>
    <x v="7"/>
    <x v="1"/>
    <n v="240"/>
    <n v="3"/>
    <x v="2"/>
    <x v="29"/>
  </r>
  <r>
    <x v="59"/>
    <x v="1"/>
    <x v="1"/>
    <n v="210"/>
    <n v="5"/>
    <x v="1"/>
    <x v="31"/>
  </r>
  <r>
    <x v="59"/>
    <x v="6"/>
    <x v="0"/>
    <n v="140"/>
    <n v="5"/>
    <x v="1"/>
    <x v="8"/>
  </r>
  <r>
    <x v="59"/>
    <x v="10"/>
    <x v="1"/>
    <n v="180"/>
    <n v="5"/>
    <x v="1"/>
    <x v="1"/>
  </r>
  <r>
    <x v="59"/>
    <x v="9"/>
    <x v="0"/>
    <n v="320"/>
    <n v="4"/>
    <x v="1"/>
    <x v="23"/>
  </r>
  <r>
    <x v="59"/>
    <x v="4"/>
    <x v="1"/>
    <n v="120"/>
    <n v="5"/>
    <x v="2"/>
    <x v="5"/>
  </r>
  <r>
    <x v="60"/>
    <x v="5"/>
    <x v="1"/>
    <n v="150"/>
    <n v="2"/>
    <x v="0"/>
    <x v="4"/>
  </r>
  <r>
    <x v="60"/>
    <x v="8"/>
    <x v="0"/>
    <n v="90"/>
    <n v="1"/>
    <x v="0"/>
    <x v="17"/>
  </r>
  <r>
    <x v="60"/>
    <x v="4"/>
    <x v="1"/>
    <n v="120"/>
    <n v="3"/>
    <x v="0"/>
    <x v="13"/>
  </r>
  <r>
    <x v="60"/>
    <x v="9"/>
    <x v="0"/>
    <n v="320"/>
    <n v="2"/>
    <x v="0"/>
    <x v="27"/>
  </r>
  <r>
    <x v="60"/>
    <x v="9"/>
    <x v="0"/>
    <n v="320"/>
    <n v="2"/>
    <x v="0"/>
    <x v="27"/>
  </r>
  <r>
    <x v="60"/>
    <x v="5"/>
    <x v="1"/>
    <n v="150"/>
    <n v="2"/>
    <x v="2"/>
    <x v="4"/>
  </r>
  <r>
    <x v="60"/>
    <x v="1"/>
    <x v="1"/>
    <n v="210"/>
    <n v="3"/>
    <x v="2"/>
    <x v="35"/>
  </r>
  <r>
    <x v="61"/>
    <x v="1"/>
    <x v="1"/>
    <n v="210"/>
    <n v="4"/>
    <x v="0"/>
    <x v="11"/>
  </r>
  <r>
    <x v="61"/>
    <x v="2"/>
    <x v="0"/>
    <n v="280"/>
    <n v="1"/>
    <x v="0"/>
    <x v="12"/>
  </r>
  <r>
    <x v="61"/>
    <x v="7"/>
    <x v="1"/>
    <n v="240"/>
    <n v="5"/>
    <x v="0"/>
    <x v="26"/>
  </r>
  <r>
    <x v="61"/>
    <x v="5"/>
    <x v="1"/>
    <n v="150"/>
    <n v="2"/>
    <x v="2"/>
    <x v="4"/>
  </r>
  <r>
    <x v="61"/>
    <x v="6"/>
    <x v="0"/>
    <n v="140"/>
    <n v="2"/>
    <x v="2"/>
    <x v="12"/>
  </r>
  <r>
    <x v="62"/>
    <x v="4"/>
    <x v="1"/>
    <n v="120"/>
    <n v="1"/>
    <x v="0"/>
    <x v="18"/>
  </r>
  <r>
    <x v="62"/>
    <x v="11"/>
    <x v="1"/>
    <n v="220"/>
    <n v="2"/>
    <x v="0"/>
    <x v="30"/>
  </r>
  <r>
    <x v="62"/>
    <x v="9"/>
    <x v="0"/>
    <n v="320"/>
    <n v="2"/>
    <x v="1"/>
    <x v="27"/>
  </r>
  <r>
    <x v="62"/>
    <x v="10"/>
    <x v="1"/>
    <n v="180"/>
    <n v="2"/>
    <x v="2"/>
    <x v="13"/>
  </r>
  <r>
    <x v="62"/>
    <x v="9"/>
    <x v="0"/>
    <n v="320"/>
    <n v="3"/>
    <x v="2"/>
    <x v="19"/>
  </r>
  <r>
    <x v="63"/>
    <x v="6"/>
    <x v="0"/>
    <n v="140"/>
    <n v="2"/>
    <x v="0"/>
    <x v="12"/>
  </r>
  <r>
    <x v="63"/>
    <x v="10"/>
    <x v="1"/>
    <n v="180"/>
    <n v="4"/>
    <x v="0"/>
    <x v="29"/>
  </r>
  <r>
    <x v="63"/>
    <x v="11"/>
    <x v="1"/>
    <n v="220"/>
    <n v="3"/>
    <x v="0"/>
    <x v="21"/>
  </r>
  <r>
    <x v="63"/>
    <x v="5"/>
    <x v="1"/>
    <n v="150"/>
    <n v="4"/>
    <x v="1"/>
    <x v="5"/>
  </r>
  <r>
    <x v="63"/>
    <x v="1"/>
    <x v="1"/>
    <n v="210"/>
    <n v="1"/>
    <x v="2"/>
    <x v="32"/>
  </r>
  <r>
    <x v="63"/>
    <x v="8"/>
    <x v="0"/>
    <n v="90"/>
    <n v="3"/>
    <x v="2"/>
    <x v="33"/>
  </r>
  <r>
    <x v="63"/>
    <x v="10"/>
    <x v="1"/>
    <n v="180"/>
    <n v="4"/>
    <x v="2"/>
    <x v="29"/>
  </r>
  <r>
    <x v="64"/>
    <x v="1"/>
    <x v="1"/>
    <n v="210"/>
    <n v="5"/>
    <x v="0"/>
    <x v="31"/>
  </r>
  <r>
    <x v="64"/>
    <x v="6"/>
    <x v="0"/>
    <n v="140"/>
    <n v="2"/>
    <x v="0"/>
    <x v="12"/>
  </r>
  <r>
    <x v="64"/>
    <x v="0"/>
    <x v="0"/>
    <n v="180"/>
    <n v="4"/>
    <x v="1"/>
    <x v="29"/>
  </r>
  <r>
    <x v="64"/>
    <x v="0"/>
    <x v="0"/>
    <n v="180"/>
    <n v="4"/>
    <x v="2"/>
    <x v="29"/>
  </r>
  <r>
    <x v="65"/>
    <x v="9"/>
    <x v="0"/>
    <n v="320"/>
    <n v="3"/>
    <x v="2"/>
    <x v="19"/>
  </r>
  <r>
    <x v="66"/>
    <x v="5"/>
    <x v="1"/>
    <n v="150"/>
    <n v="1"/>
    <x v="0"/>
    <x v="10"/>
  </r>
  <r>
    <x v="66"/>
    <x v="0"/>
    <x v="0"/>
    <n v="180"/>
    <n v="3"/>
    <x v="0"/>
    <x v="24"/>
  </r>
  <r>
    <x v="66"/>
    <x v="1"/>
    <x v="1"/>
    <n v="210"/>
    <n v="3"/>
    <x v="0"/>
    <x v="35"/>
  </r>
  <r>
    <x v="66"/>
    <x v="1"/>
    <x v="1"/>
    <n v="210"/>
    <n v="1"/>
    <x v="0"/>
    <x v="32"/>
  </r>
  <r>
    <x v="66"/>
    <x v="6"/>
    <x v="0"/>
    <n v="140"/>
    <n v="2"/>
    <x v="0"/>
    <x v="12"/>
  </r>
  <r>
    <x v="67"/>
    <x v="6"/>
    <x v="0"/>
    <n v="140"/>
    <n v="3"/>
    <x v="2"/>
    <x v="2"/>
  </r>
  <r>
    <x v="67"/>
    <x v="6"/>
    <x v="0"/>
    <n v="140"/>
    <n v="5"/>
    <x v="2"/>
    <x v="8"/>
  </r>
  <r>
    <x v="67"/>
    <x v="4"/>
    <x v="1"/>
    <n v="120"/>
    <n v="5"/>
    <x v="2"/>
    <x v="5"/>
  </r>
  <r>
    <x v="67"/>
    <x v="10"/>
    <x v="1"/>
    <n v="180"/>
    <n v="2"/>
    <x v="2"/>
    <x v="13"/>
  </r>
  <r>
    <x v="68"/>
    <x v="5"/>
    <x v="1"/>
    <n v="150"/>
    <n v="1"/>
    <x v="0"/>
    <x v="10"/>
  </r>
  <r>
    <x v="68"/>
    <x v="11"/>
    <x v="1"/>
    <n v="220"/>
    <n v="5"/>
    <x v="0"/>
    <x v="22"/>
  </r>
  <r>
    <x v="68"/>
    <x v="8"/>
    <x v="0"/>
    <n v="90"/>
    <n v="2"/>
    <x v="1"/>
    <x v="0"/>
  </r>
  <r>
    <x v="68"/>
    <x v="7"/>
    <x v="1"/>
    <n v="240"/>
    <n v="2"/>
    <x v="1"/>
    <x v="6"/>
  </r>
  <r>
    <x v="69"/>
    <x v="8"/>
    <x v="0"/>
    <n v="90"/>
    <n v="1"/>
    <x v="0"/>
    <x v="17"/>
  </r>
  <r>
    <x v="69"/>
    <x v="4"/>
    <x v="1"/>
    <n v="120"/>
    <n v="1"/>
    <x v="0"/>
    <x v="18"/>
  </r>
  <r>
    <x v="69"/>
    <x v="10"/>
    <x v="1"/>
    <n v="180"/>
    <n v="3"/>
    <x v="0"/>
    <x v="24"/>
  </r>
  <r>
    <x v="69"/>
    <x v="0"/>
    <x v="0"/>
    <n v="180"/>
    <n v="1"/>
    <x v="2"/>
    <x v="0"/>
  </r>
  <r>
    <x v="69"/>
    <x v="6"/>
    <x v="0"/>
    <n v="140"/>
    <n v="3"/>
    <x v="2"/>
    <x v="2"/>
  </r>
  <r>
    <x v="70"/>
    <x v="1"/>
    <x v="1"/>
    <n v="210"/>
    <n v="5"/>
    <x v="1"/>
    <x v="31"/>
  </r>
  <r>
    <x v="70"/>
    <x v="8"/>
    <x v="0"/>
    <n v="90"/>
    <n v="5"/>
    <x v="2"/>
    <x v="20"/>
  </r>
  <r>
    <x v="71"/>
    <x v="2"/>
    <x v="0"/>
    <n v="280"/>
    <n v="3"/>
    <x v="0"/>
    <x v="11"/>
  </r>
  <r>
    <x v="71"/>
    <x v="7"/>
    <x v="1"/>
    <n v="240"/>
    <n v="5"/>
    <x v="0"/>
    <x v="26"/>
  </r>
  <r>
    <x v="71"/>
    <x v="7"/>
    <x v="1"/>
    <n v="240"/>
    <n v="4"/>
    <x v="0"/>
    <x v="19"/>
  </r>
  <r>
    <x v="71"/>
    <x v="4"/>
    <x v="1"/>
    <n v="120"/>
    <n v="2"/>
    <x v="1"/>
    <x v="9"/>
  </r>
  <r>
    <x v="71"/>
    <x v="3"/>
    <x v="0"/>
    <n v="150"/>
    <n v="4"/>
    <x v="2"/>
    <x v="5"/>
  </r>
  <r>
    <x v="71"/>
    <x v="6"/>
    <x v="0"/>
    <n v="140"/>
    <n v="1"/>
    <x v="2"/>
    <x v="25"/>
  </r>
  <r>
    <x v="71"/>
    <x v="10"/>
    <x v="1"/>
    <n v="180"/>
    <n v="1"/>
    <x v="2"/>
    <x v="0"/>
  </r>
  <r>
    <x v="71"/>
    <x v="11"/>
    <x v="1"/>
    <n v="220"/>
    <n v="3"/>
    <x v="2"/>
    <x v="21"/>
  </r>
  <r>
    <x v="71"/>
    <x v="9"/>
    <x v="0"/>
    <n v="320"/>
    <n v="1"/>
    <x v="2"/>
    <x v="14"/>
  </r>
  <r>
    <x v="72"/>
    <x v="5"/>
    <x v="1"/>
    <n v="150"/>
    <n v="1"/>
    <x v="0"/>
    <x v="10"/>
  </r>
  <r>
    <x v="72"/>
    <x v="8"/>
    <x v="0"/>
    <n v="90"/>
    <n v="1"/>
    <x v="0"/>
    <x v="17"/>
  </r>
  <r>
    <x v="72"/>
    <x v="7"/>
    <x v="1"/>
    <n v="240"/>
    <n v="5"/>
    <x v="1"/>
    <x v="26"/>
  </r>
  <r>
    <x v="73"/>
    <x v="0"/>
    <x v="0"/>
    <n v="180"/>
    <n v="2"/>
    <x v="0"/>
    <x v="13"/>
  </r>
  <r>
    <x v="73"/>
    <x v="1"/>
    <x v="1"/>
    <n v="210"/>
    <n v="2"/>
    <x v="0"/>
    <x v="2"/>
  </r>
  <r>
    <x v="73"/>
    <x v="8"/>
    <x v="0"/>
    <n v="90"/>
    <n v="2"/>
    <x v="0"/>
    <x v="0"/>
  </r>
  <r>
    <x v="73"/>
    <x v="5"/>
    <x v="1"/>
    <n v="150"/>
    <n v="5"/>
    <x v="1"/>
    <x v="7"/>
  </r>
  <r>
    <x v="73"/>
    <x v="5"/>
    <x v="1"/>
    <n v="150"/>
    <n v="4"/>
    <x v="1"/>
    <x v="5"/>
  </r>
  <r>
    <x v="73"/>
    <x v="0"/>
    <x v="0"/>
    <n v="180"/>
    <n v="4"/>
    <x v="1"/>
    <x v="29"/>
  </r>
  <r>
    <x v="73"/>
    <x v="7"/>
    <x v="1"/>
    <n v="240"/>
    <n v="4"/>
    <x v="1"/>
    <x v="19"/>
  </r>
  <r>
    <x v="74"/>
    <x v="7"/>
    <x v="1"/>
    <n v="240"/>
    <n v="1"/>
    <x v="0"/>
    <x v="9"/>
  </r>
  <r>
    <x v="74"/>
    <x v="9"/>
    <x v="0"/>
    <n v="320"/>
    <n v="5"/>
    <x v="0"/>
    <x v="36"/>
  </r>
  <r>
    <x v="74"/>
    <x v="0"/>
    <x v="0"/>
    <n v="180"/>
    <n v="2"/>
    <x v="1"/>
    <x v="13"/>
  </r>
  <r>
    <x v="74"/>
    <x v="1"/>
    <x v="1"/>
    <n v="210"/>
    <n v="3"/>
    <x v="1"/>
    <x v="35"/>
  </r>
  <r>
    <x v="74"/>
    <x v="11"/>
    <x v="1"/>
    <n v="220"/>
    <n v="4"/>
    <x v="1"/>
    <x v="15"/>
  </r>
  <r>
    <x v="75"/>
    <x v="3"/>
    <x v="0"/>
    <n v="150"/>
    <n v="1"/>
    <x v="0"/>
    <x v="10"/>
  </r>
  <r>
    <x v="75"/>
    <x v="2"/>
    <x v="0"/>
    <n v="280"/>
    <n v="5"/>
    <x v="1"/>
    <x v="3"/>
  </r>
  <r>
    <x v="75"/>
    <x v="1"/>
    <x v="1"/>
    <n v="210"/>
    <n v="3"/>
    <x v="2"/>
    <x v="35"/>
  </r>
  <r>
    <x v="75"/>
    <x v="8"/>
    <x v="0"/>
    <n v="90"/>
    <n v="2"/>
    <x v="2"/>
    <x v="0"/>
  </r>
  <r>
    <x v="76"/>
    <x v="5"/>
    <x v="1"/>
    <n v="150"/>
    <n v="2"/>
    <x v="1"/>
    <x v="4"/>
  </r>
  <r>
    <x v="76"/>
    <x v="9"/>
    <x v="0"/>
    <n v="320"/>
    <n v="3"/>
    <x v="1"/>
    <x v="19"/>
  </r>
  <r>
    <x v="76"/>
    <x v="6"/>
    <x v="0"/>
    <n v="140"/>
    <n v="5"/>
    <x v="2"/>
    <x v="8"/>
  </r>
  <r>
    <x v="77"/>
    <x v="1"/>
    <x v="1"/>
    <n v="210"/>
    <n v="2"/>
    <x v="0"/>
    <x v="2"/>
  </r>
  <r>
    <x v="77"/>
    <x v="7"/>
    <x v="1"/>
    <n v="240"/>
    <n v="3"/>
    <x v="0"/>
    <x v="29"/>
  </r>
  <r>
    <x v="77"/>
    <x v="6"/>
    <x v="0"/>
    <n v="140"/>
    <n v="2"/>
    <x v="1"/>
    <x v="12"/>
  </r>
  <r>
    <x v="77"/>
    <x v="0"/>
    <x v="0"/>
    <n v="180"/>
    <n v="3"/>
    <x v="2"/>
    <x v="24"/>
  </r>
  <r>
    <x v="77"/>
    <x v="0"/>
    <x v="0"/>
    <n v="180"/>
    <n v="2"/>
    <x v="2"/>
    <x v="13"/>
  </r>
  <r>
    <x v="77"/>
    <x v="4"/>
    <x v="1"/>
    <n v="120"/>
    <n v="3"/>
    <x v="2"/>
    <x v="13"/>
  </r>
  <r>
    <x v="78"/>
    <x v="1"/>
    <x v="1"/>
    <n v="210"/>
    <n v="3"/>
    <x v="0"/>
    <x v="35"/>
  </r>
  <r>
    <x v="78"/>
    <x v="8"/>
    <x v="0"/>
    <n v="90"/>
    <n v="1"/>
    <x v="0"/>
    <x v="17"/>
  </r>
  <r>
    <x v="78"/>
    <x v="10"/>
    <x v="1"/>
    <n v="180"/>
    <n v="4"/>
    <x v="0"/>
    <x v="29"/>
  </r>
  <r>
    <x v="78"/>
    <x v="4"/>
    <x v="1"/>
    <n v="120"/>
    <n v="1"/>
    <x v="1"/>
    <x v="18"/>
  </r>
  <r>
    <x v="78"/>
    <x v="0"/>
    <x v="0"/>
    <n v="180"/>
    <n v="2"/>
    <x v="2"/>
    <x v="13"/>
  </r>
  <r>
    <x v="79"/>
    <x v="8"/>
    <x v="0"/>
    <n v="90"/>
    <n v="4"/>
    <x v="2"/>
    <x v="13"/>
  </r>
  <r>
    <x v="79"/>
    <x v="4"/>
    <x v="1"/>
    <n v="120"/>
    <n v="3"/>
    <x v="2"/>
    <x v="13"/>
  </r>
  <r>
    <x v="80"/>
    <x v="8"/>
    <x v="0"/>
    <n v="90"/>
    <n v="2"/>
    <x v="0"/>
    <x v="0"/>
  </r>
  <r>
    <x v="80"/>
    <x v="0"/>
    <x v="0"/>
    <n v="180"/>
    <n v="5"/>
    <x v="1"/>
    <x v="1"/>
  </r>
  <r>
    <x v="80"/>
    <x v="1"/>
    <x v="1"/>
    <n v="210"/>
    <n v="5"/>
    <x v="2"/>
    <x v="31"/>
  </r>
  <r>
    <x v="81"/>
    <x v="11"/>
    <x v="1"/>
    <n v="220"/>
    <n v="5"/>
    <x v="0"/>
    <x v="22"/>
  </r>
  <r>
    <x v="81"/>
    <x v="7"/>
    <x v="1"/>
    <n v="240"/>
    <n v="3"/>
    <x v="0"/>
    <x v="29"/>
  </r>
  <r>
    <x v="81"/>
    <x v="8"/>
    <x v="0"/>
    <n v="90"/>
    <n v="1"/>
    <x v="1"/>
    <x v="17"/>
  </r>
  <r>
    <x v="81"/>
    <x v="5"/>
    <x v="1"/>
    <n v="150"/>
    <n v="2"/>
    <x v="2"/>
    <x v="4"/>
  </r>
  <r>
    <x v="81"/>
    <x v="5"/>
    <x v="1"/>
    <n v="150"/>
    <n v="3"/>
    <x v="2"/>
    <x v="20"/>
  </r>
  <r>
    <x v="81"/>
    <x v="8"/>
    <x v="0"/>
    <n v="90"/>
    <n v="3"/>
    <x v="2"/>
    <x v="33"/>
  </r>
  <r>
    <x v="82"/>
    <x v="5"/>
    <x v="1"/>
    <n v="150"/>
    <n v="5"/>
    <x v="0"/>
    <x v="7"/>
  </r>
  <r>
    <x v="82"/>
    <x v="5"/>
    <x v="1"/>
    <n v="150"/>
    <n v="5"/>
    <x v="0"/>
    <x v="7"/>
  </r>
  <r>
    <x v="82"/>
    <x v="10"/>
    <x v="1"/>
    <n v="180"/>
    <n v="5"/>
    <x v="2"/>
    <x v="1"/>
  </r>
  <r>
    <x v="82"/>
    <x v="9"/>
    <x v="0"/>
    <n v="320"/>
    <n v="2"/>
    <x v="2"/>
    <x v="27"/>
  </r>
  <r>
    <x v="83"/>
    <x v="8"/>
    <x v="0"/>
    <n v="90"/>
    <n v="4"/>
    <x v="0"/>
    <x v="13"/>
  </r>
  <r>
    <x v="83"/>
    <x v="6"/>
    <x v="0"/>
    <n v="140"/>
    <n v="5"/>
    <x v="1"/>
    <x v="8"/>
  </r>
  <r>
    <x v="83"/>
    <x v="7"/>
    <x v="1"/>
    <n v="240"/>
    <n v="1"/>
    <x v="1"/>
    <x v="9"/>
  </r>
  <r>
    <x v="83"/>
    <x v="9"/>
    <x v="0"/>
    <n v="320"/>
    <n v="3"/>
    <x v="2"/>
    <x v="19"/>
  </r>
  <r>
    <x v="84"/>
    <x v="3"/>
    <x v="0"/>
    <n v="150"/>
    <n v="4"/>
    <x v="0"/>
    <x v="5"/>
  </r>
  <r>
    <x v="84"/>
    <x v="10"/>
    <x v="1"/>
    <n v="180"/>
    <n v="2"/>
    <x v="0"/>
    <x v="13"/>
  </r>
  <r>
    <x v="84"/>
    <x v="9"/>
    <x v="0"/>
    <n v="320"/>
    <n v="1"/>
    <x v="1"/>
    <x v="14"/>
  </r>
  <r>
    <x v="84"/>
    <x v="5"/>
    <x v="1"/>
    <n v="150"/>
    <n v="1"/>
    <x v="2"/>
    <x v="10"/>
  </r>
  <r>
    <x v="85"/>
    <x v="1"/>
    <x v="1"/>
    <n v="210"/>
    <n v="1"/>
    <x v="1"/>
    <x v="32"/>
  </r>
  <r>
    <x v="85"/>
    <x v="2"/>
    <x v="0"/>
    <n v="280"/>
    <n v="2"/>
    <x v="1"/>
    <x v="28"/>
  </r>
  <r>
    <x v="85"/>
    <x v="9"/>
    <x v="0"/>
    <n v="320"/>
    <n v="1"/>
    <x v="1"/>
    <x v="14"/>
  </r>
  <r>
    <x v="86"/>
    <x v="3"/>
    <x v="0"/>
    <n v="150"/>
    <n v="4"/>
    <x v="0"/>
    <x v="5"/>
  </r>
  <r>
    <x v="86"/>
    <x v="10"/>
    <x v="1"/>
    <n v="180"/>
    <n v="3"/>
    <x v="0"/>
    <x v="24"/>
  </r>
  <r>
    <x v="86"/>
    <x v="5"/>
    <x v="1"/>
    <n v="150"/>
    <n v="1"/>
    <x v="2"/>
    <x v="10"/>
  </r>
  <r>
    <x v="86"/>
    <x v="2"/>
    <x v="0"/>
    <n v="280"/>
    <n v="4"/>
    <x v="2"/>
    <x v="16"/>
  </r>
  <r>
    <x v="86"/>
    <x v="4"/>
    <x v="1"/>
    <n v="120"/>
    <n v="3"/>
    <x v="2"/>
    <x v="13"/>
  </r>
  <r>
    <x v="87"/>
    <x v="5"/>
    <x v="1"/>
    <n v="150"/>
    <n v="4"/>
    <x v="1"/>
    <x v="5"/>
  </r>
  <r>
    <x v="87"/>
    <x v="9"/>
    <x v="0"/>
    <n v="320"/>
    <n v="3"/>
    <x v="1"/>
    <x v="19"/>
  </r>
  <r>
    <x v="87"/>
    <x v="0"/>
    <x v="0"/>
    <n v="180"/>
    <n v="3"/>
    <x v="2"/>
    <x v="24"/>
  </r>
  <r>
    <x v="87"/>
    <x v="6"/>
    <x v="0"/>
    <n v="140"/>
    <n v="2"/>
    <x v="2"/>
    <x v="12"/>
  </r>
  <r>
    <x v="87"/>
    <x v="6"/>
    <x v="0"/>
    <n v="140"/>
    <n v="3"/>
    <x v="2"/>
    <x v="2"/>
  </r>
  <r>
    <x v="88"/>
    <x v="3"/>
    <x v="0"/>
    <n v="150"/>
    <n v="1"/>
    <x v="0"/>
    <x v="10"/>
  </r>
  <r>
    <x v="88"/>
    <x v="7"/>
    <x v="1"/>
    <n v="240"/>
    <n v="1"/>
    <x v="0"/>
    <x v="9"/>
  </r>
  <r>
    <x v="88"/>
    <x v="1"/>
    <x v="1"/>
    <n v="210"/>
    <n v="1"/>
    <x v="1"/>
    <x v="32"/>
  </r>
  <r>
    <x v="88"/>
    <x v="2"/>
    <x v="0"/>
    <n v="280"/>
    <n v="5"/>
    <x v="1"/>
    <x v="3"/>
  </r>
  <r>
    <x v="88"/>
    <x v="10"/>
    <x v="1"/>
    <n v="180"/>
    <n v="3"/>
    <x v="2"/>
    <x v="24"/>
  </r>
  <r>
    <x v="88"/>
    <x v="10"/>
    <x v="1"/>
    <n v="180"/>
    <n v="5"/>
    <x v="2"/>
    <x v="1"/>
  </r>
  <r>
    <x v="88"/>
    <x v="11"/>
    <x v="1"/>
    <n v="220"/>
    <n v="5"/>
    <x v="2"/>
    <x v="22"/>
  </r>
  <r>
    <x v="89"/>
    <x v="3"/>
    <x v="0"/>
    <n v="150"/>
    <n v="5"/>
    <x v="0"/>
    <x v="7"/>
  </r>
  <r>
    <x v="89"/>
    <x v="2"/>
    <x v="0"/>
    <n v="280"/>
    <n v="4"/>
    <x v="0"/>
    <x v="16"/>
  </r>
  <r>
    <x v="89"/>
    <x v="2"/>
    <x v="0"/>
    <n v="280"/>
    <n v="3"/>
    <x v="0"/>
    <x v="11"/>
  </r>
  <r>
    <x v="89"/>
    <x v="10"/>
    <x v="1"/>
    <n v="180"/>
    <n v="4"/>
    <x v="1"/>
    <x v="29"/>
  </r>
  <r>
    <x v="89"/>
    <x v="11"/>
    <x v="1"/>
    <n v="220"/>
    <n v="5"/>
    <x v="1"/>
    <x v="22"/>
  </r>
  <r>
    <x v="89"/>
    <x v="9"/>
    <x v="0"/>
    <n v="320"/>
    <n v="1"/>
    <x v="1"/>
    <x v="14"/>
  </r>
  <r>
    <x v="89"/>
    <x v="9"/>
    <x v="0"/>
    <n v="320"/>
    <n v="2"/>
    <x v="1"/>
    <x v="27"/>
  </r>
  <r>
    <x v="89"/>
    <x v="3"/>
    <x v="0"/>
    <n v="150"/>
    <n v="2"/>
    <x v="2"/>
    <x v="4"/>
  </r>
  <r>
    <x v="89"/>
    <x v="8"/>
    <x v="0"/>
    <n v="90"/>
    <n v="1"/>
    <x v="2"/>
    <x v="17"/>
  </r>
  <r>
    <x v="89"/>
    <x v="6"/>
    <x v="0"/>
    <n v="140"/>
    <n v="1"/>
    <x v="2"/>
    <x v="25"/>
  </r>
  <r>
    <x v="90"/>
    <x v="0"/>
    <x v="0"/>
    <n v="180"/>
    <n v="2"/>
    <x v="0"/>
    <x v="13"/>
  </r>
  <r>
    <x v="90"/>
    <x v="5"/>
    <x v="1"/>
    <n v="150"/>
    <n v="3"/>
    <x v="1"/>
    <x v="20"/>
  </r>
  <r>
    <x v="91"/>
    <x v="5"/>
    <x v="1"/>
    <n v="150"/>
    <n v="2"/>
    <x v="0"/>
    <x v="4"/>
  </r>
  <r>
    <x v="91"/>
    <x v="6"/>
    <x v="0"/>
    <n v="140"/>
    <n v="4"/>
    <x v="0"/>
    <x v="28"/>
  </r>
  <r>
    <x v="91"/>
    <x v="4"/>
    <x v="1"/>
    <n v="120"/>
    <n v="1"/>
    <x v="0"/>
    <x v="18"/>
  </r>
  <r>
    <x v="91"/>
    <x v="3"/>
    <x v="0"/>
    <n v="150"/>
    <n v="4"/>
    <x v="1"/>
    <x v="5"/>
  </r>
  <r>
    <x v="91"/>
    <x v="8"/>
    <x v="0"/>
    <n v="90"/>
    <n v="4"/>
    <x v="1"/>
    <x v="13"/>
  </r>
  <r>
    <x v="91"/>
    <x v="8"/>
    <x v="0"/>
    <n v="90"/>
    <n v="1"/>
    <x v="1"/>
    <x v="17"/>
  </r>
  <r>
    <x v="91"/>
    <x v="4"/>
    <x v="1"/>
    <n v="120"/>
    <n v="1"/>
    <x v="1"/>
    <x v="18"/>
  </r>
  <r>
    <x v="91"/>
    <x v="5"/>
    <x v="1"/>
    <n v="150"/>
    <n v="3"/>
    <x v="2"/>
    <x v="20"/>
  </r>
  <r>
    <x v="92"/>
    <x v="2"/>
    <x v="0"/>
    <n v="280"/>
    <n v="5"/>
    <x v="0"/>
    <x v="3"/>
  </r>
  <r>
    <x v="92"/>
    <x v="4"/>
    <x v="1"/>
    <n v="120"/>
    <n v="4"/>
    <x v="0"/>
    <x v="6"/>
  </r>
  <r>
    <x v="92"/>
    <x v="3"/>
    <x v="0"/>
    <n v="150"/>
    <n v="2"/>
    <x v="1"/>
    <x v="4"/>
  </r>
  <r>
    <x v="92"/>
    <x v="9"/>
    <x v="0"/>
    <n v="320"/>
    <n v="3"/>
    <x v="1"/>
    <x v="19"/>
  </r>
  <r>
    <x v="93"/>
    <x v="5"/>
    <x v="1"/>
    <n v="150"/>
    <n v="3"/>
    <x v="0"/>
    <x v="20"/>
  </r>
  <r>
    <x v="93"/>
    <x v="8"/>
    <x v="0"/>
    <n v="90"/>
    <n v="1"/>
    <x v="0"/>
    <x v="17"/>
  </r>
  <r>
    <x v="93"/>
    <x v="9"/>
    <x v="0"/>
    <n v="320"/>
    <n v="1"/>
    <x v="0"/>
    <x v="14"/>
  </r>
  <r>
    <x v="93"/>
    <x v="2"/>
    <x v="0"/>
    <n v="280"/>
    <n v="3"/>
    <x v="1"/>
    <x v="11"/>
  </r>
  <r>
    <x v="93"/>
    <x v="8"/>
    <x v="0"/>
    <n v="90"/>
    <n v="2"/>
    <x v="2"/>
    <x v="0"/>
  </r>
  <r>
    <x v="94"/>
    <x v="0"/>
    <x v="0"/>
    <n v="180"/>
    <n v="3"/>
    <x v="0"/>
    <x v="24"/>
  </r>
  <r>
    <x v="94"/>
    <x v="1"/>
    <x v="1"/>
    <n v="210"/>
    <n v="3"/>
    <x v="0"/>
    <x v="35"/>
  </r>
  <r>
    <x v="94"/>
    <x v="4"/>
    <x v="1"/>
    <n v="120"/>
    <n v="3"/>
    <x v="0"/>
    <x v="13"/>
  </r>
  <r>
    <x v="94"/>
    <x v="10"/>
    <x v="1"/>
    <n v="180"/>
    <n v="2"/>
    <x v="0"/>
    <x v="13"/>
  </r>
  <r>
    <x v="94"/>
    <x v="11"/>
    <x v="1"/>
    <n v="220"/>
    <n v="5"/>
    <x v="1"/>
    <x v="22"/>
  </r>
  <r>
    <x v="94"/>
    <x v="3"/>
    <x v="0"/>
    <n v="150"/>
    <n v="5"/>
    <x v="2"/>
    <x v="7"/>
  </r>
  <r>
    <x v="95"/>
    <x v="7"/>
    <x v="1"/>
    <n v="240"/>
    <n v="3"/>
    <x v="0"/>
    <x v="29"/>
  </r>
  <r>
    <x v="95"/>
    <x v="8"/>
    <x v="0"/>
    <n v="90"/>
    <n v="4"/>
    <x v="1"/>
    <x v="13"/>
  </r>
  <r>
    <x v="95"/>
    <x v="7"/>
    <x v="1"/>
    <n v="240"/>
    <n v="5"/>
    <x v="1"/>
    <x v="26"/>
  </r>
  <r>
    <x v="96"/>
    <x v="2"/>
    <x v="0"/>
    <n v="280"/>
    <n v="2"/>
    <x v="0"/>
    <x v="28"/>
  </r>
  <r>
    <x v="96"/>
    <x v="2"/>
    <x v="0"/>
    <n v="280"/>
    <n v="1"/>
    <x v="1"/>
    <x v="12"/>
  </r>
  <r>
    <x v="96"/>
    <x v="4"/>
    <x v="1"/>
    <n v="120"/>
    <n v="3"/>
    <x v="2"/>
    <x v="13"/>
  </r>
  <r>
    <x v="96"/>
    <x v="4"/>
    <x v="1"/>
    <n v="120"/>
    <n v="4"/>
    <x v="2"/>
    <x v="6"/>
  </r>
  <r>
    <x v="97"/>
    <x v="1"/>
    <x v="1"/>
    <n v="210"/>
    <n v="5"/>
    <x v="0"/>
    <x v="31"/>
  </r>
  <r>
    <x v="97"/>
    <x v="8"/>
    <x v="0"/>
    <n v="90"/>
    <n v="2"/>
    <x v="0"/>
    <x v="0"/>
  </r>
  <r>
    <x v="97"/>
    <x v="7"/>
    <x v="1"/>
    <n v="240"/>
    <n v="1"/>
    <x v="0"/>
    <x v="9"/>
  </r>
  <r>
    <x v="97"/>
    <x v="7"/>
    <x v="1"/>
    <n v="240"/>
    <n v="2"/>
    <x v="0"/>
    <x v="6"/>
  </r>
  <r>
    <x v="97"/>
    <x v="8"/>
    <x v="0"/>
    <n v="90"/>
    <n v="4"/>
    <x v="1"/>
    <x v="13"/>
  </r>
  <r>
    <x v="97"/>
    <x v="11"/>
    <x v="1"/>
    <n v="220"/>
    <n v="3"/>
    <x v="1"/>
    <x v="21"/>
  </r>
  <r>
    <x v="98"/>
    <x v="10"/>
    <x v="1"/>
    <n v="180"/>
    <n v="2"/>
    <x v="0"/>
    <x v="13"/>
  </r>
  <r>
    <x v="98"/>
    <x v="7"/>
    <x v="1"/>
    <n v="240"/>
    <n v="5"/>
    <x v="0"/>
    <x v="26"/>
  </r>
  <r>
    <x v="98"/>
    <x v="3"/>
    <x v="0"/>
    <n v="150"/>
    <n v="4"/>
    <x v="2"/>
    <x v="5"/>
  </r>
  <r>
    <x v="98"/>
    <x v="4"/>
    <x v="1"/>
    <n v="120"/>
    <n v="3"/>
    <x v="2"/>
    <x v="13"/>
  </r>
  <r>
    <x v="98"/>
    <x v="7"/>
    <x v="1"/>
    <n v="240"/>
    <n v="2"/>
    <x v="2"/>
    <x v="6"/>
  </r>
  <r>
    <x v="99"/>
    <x v="0"/>
    <x v="0"/>
    <n v="180"/>
    <n v="4"/>
    <x v="0"/>
    <x v="29"/>
  </r>
  <r>
    <x v="100"/>
    <x v="10"/>
    <x v="1"/>
    <n v="180"/>
    <n v="1"/>
    <x v="0"/>
    <x v="0"/>
  </r>
  <r>
    <x v="100"/>
    <x v="7"/>
    <x v="1"/>
    <n v="240"/>
    <n v="3"/>
    <x v="0"/>
    <x v="29"/>
  </r>
  <r>
    <x v="100"/>
    <x v="6"/>
    <x v="0"/>
    <n v="140"/>
    <n v="3"/>
    <x v="2"/>
    <x v="2"/>
  </r>
  <r>
    <x v="100"/>
    <x v="4"/>
    <x v="1"/>
    <n v="120"/>
    <n v="5"/>
    <x v="2"/>
    <x v="5"/>
  </r>
  <r>
    <x v="101"/>
    <x v="0"/>
    <x v="0"/>
    <n v="180"/>
    <n v="5"/>
    <x v="0"/>
    <x v="1"/>
  </r>
  <r>
    <x v="101"/>
    <x v="3"/>
    <x v="0"/>
    <n v="150"/>
    <n v="3"/>
    <x v="0"/>
    <x v="20"/>
  </r>
  <r>
    <x v="101"/>
    <x v="1"/>
    <x v="1"/>
    <n v="210"/>
    <n v="1"/>
    <x v="2"/>
    <x v="32"/>
  </r>
  <r>
    <x v="101"/>
    <x v="7"/>
    <x v="1"/>
    <n v="240"/>
    <n v="3"/>
    <x v="2"/>
    <x v="29"/>
  </r>
  <r>
    <x v="102"/>
    <x v="8"/>
    <x v="0"/>
    <n v="90"/>
    <n v="3"/>
    <x v="0"/>
    <x v="33"/>
  </r>
  <r>
    <x v="102"/>
    <x v="10"/>
    <x v="1"/>
    <n v="180"/>
    <n v="1"/>
    <x v="0"/>
    <x v="0"/>
  </r>
  <r>
    <x v="102"/>
    <x v="7"/>
    <x v="1"/>
    <n v="240"/>
    <n v="5"/>
    <x v="1"/>
    <x v="26"/>
  </r>
  <r>
    <x v="103"/>
    <x v="5"/>
    <x v="1"/>
    <n v="150"/>
    <n v="1"/>
    <x v="0"/>
    <x v="10"/>
  </r>
  <r>
    <x v="103"/>
    <x v="0"/>
    <x v="0"/>
    <n v="180"/>
    <n v="3"/>
    <x v="0"/>
    <x v="24"/>
  </r>
  <r>
    <x v="103"/>
    <x v="10"/>
    <x v="1"/>
    <n v="180"/>
    <n v="3"/>
    <x v="0"/>
    <x v="24"/>
  </r>
  <r>
    <x v="103"/>
    <x v="7"/>
    <x v="1"/>
    <n v="240"/>
    <n v="2"/>
    <x v="0"/>
    <x v="6"/>
  </r>
  <r>
    <x v="103"/>
    <x v="5"/>
    <x v="1"/>
    <n v="150"/>
    <n v="4"/>
    <x v="1"/>
    <x v="5"/>
  </r>
  <r>
    <x v="103"/>
    <x v="11"/>
    <x v="1"/>
    <n v="220"/>
    <n v="4"/>
    <x v="1"/>
    <x v="15"/>
  </r>
  <r>
    <x v="104"/>
    <x v="11"/>
    <x v="1"/>
    <n v="220"/>
    <n v="4"/>
    <x v="0"/>
    <x v="15"/>
  </r>
  <r>
    <x v="104"/>
    <x v="9"/>
    <x v="0"/>
    <n v="320"/>
    <n v="4"/>
    <x v="0"/>
    <x v="23"/>
  </r>
  <r>
    <x v="104"/>
    <x v="0"/>
    <x v="0"/>
    <n v="180"/>
    <n v="3"/>
    <x v="1"/>
    <x v="24"/>
  </r>
  <r>
    <x v="104"/>
    <x v="9"/>
    <x v="0"/>
    <n v="320"/>
    <n v="3"/>
    <x v="1"/>
    <x v="19"/>
  </r>
  <r>
    <x v="105"/>
    <x v="5"/>
    <x v="1"/>
    <n v="150"/>
    <n v="4"/>
    <x v="0"/>
    <x v="5"/>
  </r>
  <r>
    <x v="105"/>
    <x v="2"/>
    <x v="0"/>
    <n v="280"/>
    <n v="1"/>
    <x v="0"/>
    <x v="12"/>
  </r>
  <r>
    <x v="105"/>
    <x v="11"/>
    <x v="1"/>
    <n v="220"/>
    <n v="3"/>
    <x v="0"/>
    <x v="21"/>
  </r>
  <r>
    <x v="105"/>
    <x v="2"/>
    <x v="0"/>
    <n v="280"/>
    <n v="2"/>
    <x v="1"/>
    <x v="28"/>
  </r>
  <r>
    <x v="105"/>
    <x v="2"/>
    <x v="0"/>
    <n v="280"/>
    <n v="4"/>
    <x v="1"/>
    <x v="16"/>
  </r>
  <r>
    <x v="105"/>
    <x v="11"/>
    <x v="1"/>
    <n v="220"/>
    <n v="2"/>
    <x v="2"/>
    <x v="30"/>
  </r>
  <r>
    <x v="106"/>
    <x v="5"/>
    <x v="1"/>
    <n v="150"/>
    <n v="3"/>
    <x v="0"/>
    <x v="20"/>
  </r>
  <r>
    <x v="106"/>
    <x v="4"/>
    <x v="1"/>
    <n v="120"/>
    <n v="5"/>
    <x v="0"/>
    <x v="5"/>
  </r>
  <r>
    <x v="106"/>
    <x v="9"/>
    <x v="0"/>
    <n v="320"/>
    <n v="3"/>
    <x v="1"/>
    <x v="19"/>
  </r>
  <r>
    <x v="106"/>
    <x v="4"/>
    <x v="1"/>
    <n v="120"/>
    <n v="2"/>
    <x v="2"/>
    <x v="9"/>
  </r>
  <r>
    <x v="107"/>
    <x v="8"/>
    <x v="0"/>
    <n v="90"/>
    <n v="1"/>
    <x v="0"/>
    <x v="17"/>
  </r>
  <r>
    <x v="107"/>
    <x v="10"/>
    <x v="1"/>
    <n v="180"/>
    <n v="2"/>
    <x v="1"/>
    <x v="13"/>
  </r>
  <r>
    <x v="108"/>
    <x v="8"/>
    <x v="0"/>
    <n v="90"/>
    <n v="4"/>
    <x v="0"/>
    <x v="13"/>
  </r>
  <r>
    <x v="108"/>
    <x v="5"/>
    <x v="1"/>
    <n v="150"/>
    <n v="4"/>
    <x v="1"/>
    <x v="5"/>
  </r>
  <r>
    <x v="108"/>
    <x v="3"/>
    <x v="0"/>
    <n v="150"/>
    <n v="3"/>
    <x v="1"/>
    <x v="20"/>
  </r>
  <r>
    <x v="108"/>
    <x v="9"/>
    <x v="0"/>
    <n v="320"/>
    <n v="5"/>
    <x v="1"/>
    <x v="36"/>
  </r>
  <r>
    <x v="108"/>
    <x v="1"/>
    <x v="1"/>
    <n v="210"/>
    <n v="3"/>
    <x v="2"/>
    <x v="35"/>
  </r>
  <r>
    <x v="108"/>
    <x v="10"/>
    <x v="1"/>
    <n v="180"/>
    <n v="5"/>
    <x v="2"/>
    <x v="1"/>
  </r>
  <r>
    <x v="108"/>
    <x v="11"/>
    <x v="1"/>
    <n v="220"/>
    <n v="5"/>
    <x v="2"/>
    <x v="22"/>
  </r>
  <r>
    <x v="109"/>
    <x v="3"/>
    <x v="0"/>
    <n v="150"/>
    <n v="2"/>
    <x v="0"/>
    <x v="4"/>
  </r>
  <r>
    <x v="109"/>
    <x v="11"/>
    <x v="1"/>
    <n v="220"/>
    <n v="2"/>
    <x v="0"/>
    <x v="30"/>
  </r>
  <r>
    <x v="109"/>
    <x v="5"/>
    <x v="1"/>
    <n v="150"/>
    <n v="3"/>
    <x v="1"/>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50BBC6-5DFD-4158-8132-08254BDC72F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5" firstHeaderRow="1" firstDataRow="1" firstDataCol="1"/>
  <pivotFields count="9">
    <pivotField numFmtId="15" showAll="0">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showAll="0">
      <items count="13">
        <item x="5"/>
        <item x="0"/>
        <item x="3"/>
        <item x="1"/>
        <item x="2"/>
        <item x="8"/>
        <item x="6"/>
        <item x="4"/>
        <item x="10"/>
        <item x="11"/>
        <item x="7"/>
        <item x="9"/>
        <item t="default"/>
      </items>
    </pivotField>
    <pivotField axis="axisRow" showAll="0">
      <items count="3">
        <item x="1"/>
        <item x="0"/>
        <item t="default"/>
      </items>
    </pivotField>
    <pivotField numFmtId="164" showAll="0"/>
    <pivotField showAll="0"/>
    <pivotField showAll="0"/>
    <pivotField dataField="1" numFmtId="165" showAll="0">
      <items count="38">
        <item x="17"/>
        <item x="18"/>
        <item x="25"/>
        <item x="10"/>
        <item x="0"/>
        <item x="32"/>
        <item x="34"/>
        <item x="9"/>
        <item x="33"/>
        <item x="12"/>
        <item x="4"/>
        <item x="14"/>
        <item x="13"/>
        <item x="2"/>
        <item x="30"/>
        <item x="20"/>
        <item x="6"/>
        <item x="24"/>
        <item x="28"/>
        <item x="5"/>
        <item x="35"/>
        <item x="27"/>
        <item x="21"/>
        <item x="8"/>
        <item x="29"/>
        <item x="7"/>
        <item x="11"/>
        <item x="15"/>
        <item x="1"/>
        <item x="19"/>
        <item x="31"/>
        <item x="22"/>
        <item x="16"/>
        <item x="26"/>
        <item x="23"/>
        <item x="3"/>
        <item x="3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Sum of Sales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980C44-81B3-4F3C-B9F1-640D1FA80D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I15" firstHeaderRow="1" firstDataRow="1" firstDataCol="1"/>
  <pivotFields count="9">
    <pivotField numFmtId="15" showAll="0">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axis="axisRow" showAll="0" sortType="descending">
      <items count="13">
        <item x="5"/>
        <item x="0"/>
        <item x="3"/>
        <item x="1"/>
        <item x="2"/>
        <item x="8"/>
        <item x="6"/>
        <item x="4"/>
        <item x="10"/>
        <item x="11"/>
        <item x="7"/>
        <item x="9"/>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numFmtId="164" showAll="0"/>
    <pivotField showAll="0"/>
    <pivotField showAll="0">
      <items count="4">
        <item x="0"/>
        <item x="1"/>
        <item x="2"/>
        <item t="default"/>
      </items>
    </pivotField>
    <pivotField dataField="1" numFmtId="165" showAll="0">
      <items count="38">
        <item x="17"/>
        <item x="18"/>
        <item x="25"/>
        <item x="10"/>
        <item x="0"/>
        <item x="32"/>
        <item x="34"/>
        <item x="9"/>
        <item x="33"/>
        <item x="12"/>
        <item x="4"/>
        <item x="14"/>
        <item x="13"/>
        <item x="2"/>
        <item x="30"/>
        <item x="20"/>
        <item x="6"/>
        <item x="24"/>
        <item x="28"/>
        <item x="5"/>
        <item x="35"/>
        <item x="27"/>
        <item x="21"/>
        <item x="8"/>
        <item x="29"/>
        <item x="7"/>
        <item x="11"/>
        <item x="15"/>
        <item x="1"/>
        <item x="19"/>
        <item x="31"/>
        <item x="22"/>
        <item x="16"/>
        <item x="26"/>
        <item x="23"/>
        <item x="3"/>
        <item x="36"/>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3">
    <i>
      <x v="4"/>
    </i>
    <i>
      <x v="11"/>
    </i>
    <i>
      <x v="10"/>
    </i>
    <i>
      <x v="9"/>
    </i>
    <i>
      <x v="8"/>
    </i>
    <i>
      <x/>
    </i>
    <i>
      <x v="3"/>
    </i>
    <i>
      <x v="1"/>
    </i>
    <i>
      <x v="7"/>
    </i>
    <i>
      <x v="2"/>
    </i>
    <i>
      <x v="6"/>
    </i>
    <i>
      <x v="5"/>
    </i>
    <i t="grand">
      <x/>
    </i>
  </rowItems>
  <colItems count="1">
    <i/>
  </colItems>
  <dataFields count="1">
    <dataField name="Sum of Sales "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7FE946-CF6F-44FB-9495-AA41EDA0A9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7" firstHeaderRow="1" firstDataRow="1" firstDataCol="1"/>
  <pivotFields count="9">
    <pivotField axis="axisRow" numFmtId="15" showAll="0">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showAll="0"/>
    <pivotField showAll="0"/>
    <pivotField numFmtId="164" showAll="0"/>
    <pivotField showAll="0"/>
    <pivotField showAll="0"/>
    <pivotField dataField="1" numFmtId="16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0"/>
  </rowFields>
  <rowItems count="5">
    <i>
      <x v="1"/>
    </i>
    <i>
      <x v="2"/>
    </i>
    <i>
      <x v="3"/>
    </i>
    <i>
      <x v="4"/>
    </i>
    <i t="grand">
      <x/>
    </i>
  </rowItems>
  <colItems count="1">
    <i/>
  </colItems>
  <dataFields count="1">
    <dataField name="Sum of Sales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314CB3-6C03-4851-8215-6177F44FE533}" sourceName="Category">
  <pivotTables>
    <pivotTable tabId="5" name="PivotTable6"/>
  </pivotTables>
  <data>
    <tabular pivotCacheId="6856117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92FB4F6-4766-4C02-A94A-265885BD4C0B}" sourceName="Payment Method">
  <pivotTables>
    <pivotTable tabId="5" name="PivotTable6"/>
  </pivotTables>
  <data>
    <tabular pivotCacheId="6856117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6694DE9-E4AD-4263-BE63-4F2CCF2BC700}" cache="Slicer_Category" caption="Category" rowHeight="234950"/>
  <slicer name="Payment Method 1" xr10:uid="{191F6DDC-82FB-4A29-BE25-979E09273295}" cache="Slicer_Payment_Method" caption="Payment Metho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2"/>
  <sheetViews>
    <sheetView zoomScaleNormal="100" workbookViewId="0">
      <pane ySplit="1" topLeftCell="A2" activePane="bottomLeft" state="frozen"/>
      <selection pane="bottomLeft" activeCell="M15" sqref="M15"/>
    </sheetView>
  </sheetViews>
  <sheetFormatPr defaultRowHeight="14.4" x14ac:dyDescent="0.3"/>
  <cols>
    <col min="1" max="1" width="18.109375" style="2" bestFit="1" customWidth="1"/>
    <col min="2" max="2" width="14.77734375" style="2" bestFit="1" customWidth="1"/>
    <col min="3" max="3" width="8.5546875" style="2" bestFit="1" customWidth="1"/>
    <col min="4" max="4" width="8.109375" style="15" bestFit="1" customWidth="1"/>
    <col min="5" max="5" width="8.33203125" style="2" bestFit="1" customWidth="1"/>
    <col min="6" max="6" width="15.88671875" style="2" bestFit="1" customWidth="1"/>
    <col min="7" max="7" width="11.5546875" style="19" bestFit="1" customWidth="1"/>
    <col min="8" max="8" width="14.77734375" style="2" bestFit="1" customWidth="1"/>
    <col min="9" max="9" width="15.88671875" style="2" bestFit="1" customWidth="1"/>
    <col min="10" max="10" width="12.44140625" style="2" bestFit="1" customWidth="1"/>
    <col min="11" max="11" width="13.109375" style="19" bestFit="1" customWidth="1"/>
    <col min="12" max="12" width="8.88671875" style="2"/>
    <col min="13" max="13" width="9.77734375" style="2" bestFit="1" customWidth="1"/>
    <col min="14" max="14" width="15.88671875" style="2" bestFit="1" customWidth="1"/>
    <col min="15" max="15" width="12.44140625" style="2" bestFit="1" customWidth="1"/>
    <col min="16" max="16" width="12.5546875" style="19" bestFit="1" customWidth="1"/>
    <col min="17" max="16384" width="8.88671875" style="2"/>
  </cols>
  <sheetData>
    <row r="1" spans="1:16" x14ac:dyDescent="0.3">
      <c r="A1" s="1" t="s">
        <v>0</v>
      </c>
      <c r="B1" s="1" t="s">
        <v>1</v>
      </c>
      <c r="C1" s="1" t="s">
        <v>2</v>
      </c>
      <c r="D1" s="13" t="s">
        <v>3</v>
      </c>
      <c r="E1" s="1" t="s">
        <v>4</v>
      </c>
      <c r="F1" s="1" t="s">
        <v>5</v>
      </c>
      <c r="G1" s="16" t="s">
        <v>25</v>
      </c>
    </row>
    <row r="2" spans="1:16" x14ac:dyDescent="0.3">
      <c r="A2" s="4">
        <v>46023</v>
      </c>
      <c r="B2" s="3" t="s">
        <v>11</v>
      </c>
      <c r="C2" s="3" t="s">
        <v>7</v>
      </c>
      <c r="D2" s="14">
        <v>180</v>
      </c>
      <c r="E2" s="3">
        <v>1</v>
      </c>
      <c r="F2" s="3" t="s">
        <v>12</v>
      </c>
      <c r="G2" s="17">
        <f t="shared" ref="G2:G65" si="0">D2*E2</f>
        <v>180</v>
      </c>
    </row>
    <row r="3" spans="1:16" x14ac:dyDescent="0.3">
      <c r="A3" s="4">
        <v>46023</v>
      </c>
      <c r="B3" s="3" t="s">
        <v>11</v>
      </c>
      <c r="C3" s="3" t="s">
        <v>7</v>
      </c>
      <c r="D3" s="14">
        <v>180</v>
      </c>
      <c r="E3" s="3">
        <v>5</v>
      </c>
      <c r="F3" s="3" t="s">
        <v>12</v>
      </c>
      <c r="G3" s="17">
        <f t="shared" si="0"/>
        <v>900</v>
      </c>
      <c r="I3" s="6" t="s">
        <v>1</v>
      </c>
      <c r="J3" s="6" t="s">
        <v>23</v>
      </c>
      <c r="K3" s="20" t="s">
        <v>24</v>
      </c>
      <c r="M3" s="9" t="s">
        <v>1</v>
      </c>
      <c r="N3" s="9" t="s">
        <v>5</v>
      </c>
      <c r="O3" s="9" t="s">
        <v>23</v>
      </c>
      <c r="P3" s="21" t="s">
        <v>24</v>
      </c>
    </row>
    <row r="4" spans="1:16" x14ac:dyDescent="0.3">
      <c r="A4" s="4">
        <v>46023</v>
      </c>
      <c r="B4" s="3" t="s">
        <v>15</v>
      </c>
      <c r="C4" s="3" t="s">
        <v>10</v>
      </c>
      <c r="D4" s="14">
        <v>210</v>
      </c>
      <c r="E4" s="3">
        <v>2</v>
      </c>
      <c r="F4" s="3" t="s">
        <v>12</v>
      </c>
      <c r="G4" s="17">
        <f t="shared" si="0"/>
        <v>420</v>
      </c>
      <c r="I4" s="3" t="s">
        <v>16</v>
      </c>
      <c r="J4" s="3">
        <f>SUMIF(B1:B501,I4,E1:E501)</f>
        <v>153</v>
      </c>
      <c r="K4" s="17">
        <f>SUMIF(B1:B501,I4,G1:G501)</f>
        <v>22950</v>
      </c>
      <c r="M4" s="3" t="s">
        <v>16</v>
      </c>
      <c r="N4" s="3" t="s">
        <v>12</v>
      </c>
      <c r="O4" s="3">
        <f>SUMIFS(E1:E501,B1:B501,M4,F1:F501,N4)</f>
        <v>78</v>
      </c>
      <c r="P4" s="17">
        <f>SUMIFS(G1:G501,B1:B501,M4,F1:F501,N4)</f>
        <v>11700</v>
      </c>
    </row>
    <row r="5" spans="1:16" x14ac:dyDescent="0.3">
      <c r="A5" s="4">
        <v>46023</v>
      </c>
      <c r="B5" s="3" t="s">
        <v>13</v>
      </c>
      <c r="C5" s="3" t="s">
        <v>7</v>
      </c>
      <c r="D5" s="14">
        <v>280</v>
      </c>
      <c r="E5" s="3">
        <v>5</v>
      </c>
      <c r="F5" s="3" t="s">
        <v>12</v>
      </c>
      <c r="G5" s="17">
        <f t="shared" si="0"/>
        <v>1400</v>
      </c>
    </row>
    <row r="6" spans="1:16" x14ac:dyDescent="0.3">
      <c r="A6" s="4">
        <v>46023</v>
      </c>
      <c r="B6" s="3" t="s">
        <v>6</v>
      </c>
      <c r="C6" s="3" t="s">
        <v>7</v>
      </c>
      <c r="D6" s="14">
        <v>150</v>
      </c>
      <c r="E6" s="3">
        <v>2</v>
      </c>
      <c r="F6" s="3" t="s">
        <v>14</v>
      </c>
      <c r="G6" s="17">
        <f t="shared" si="0"/>
        <v>300</v>
      </c>
      <c r="I6" s="7" t="s">
        <v>2</v>
      </c>
      <c r="J6" s="7" t="s">
        <v>23</v>
      </c>
      <c r="K6" s="18" t="s">
        <v>26</v>
      </c>
    </row>
    <row r="7" spans="1:16" x14ac:dyDescent="0.3">
      <c r="A7" s="4">
        <v>46023</v>
      </c>
      <c r="B7" s="3" t="s">
        <v>6</v>
      </c>
      <c r="C7" s="3" t="s">
        <v>7</v>
      </c>
      <c r="D7" s="14">
        <v>150</v>
      </c>
      <c r="E7" s="3">
        <v>4</v>
      </c>
      <c r="F7" s="3" t="s">
        <v>8</v>
      </c>
      <c r="G7" s="17">
        <f t="shared" si="0"/>
        <v>600</v>
      </c>
      <c r="I7" s="3" t="s">
        <v>10</v>
      </c>
      <c r="J7" s="3">
        <f>SUMIF(C1:C501,I7,E1:E501)</f>
        <v>811</v>
      </c>
      <c r="K7" s="17">
        <f>SUMIF(C1:C501,I7,G1:G501)</f>
        <v>148350</v>
      </c>
    </row>
    <row r="8" spans="1:16" x14ac:dyDescent="0.3">
      <c r="A8" s="4">
        <v>46023</v>
      </c>
      <c r="B8" s="3" t="s">
        <v>9</v>
      </c>
      <c r="C8" s="3" t="s">
        <v>10</v>
      </c>
      <c r="D8" s="14">
        <v>120</v>
      </c>
      <c r="E8" s="3">
        <v>4</v>
      </c>
      <c r="F8" s="3" t="s">
        <v>8</v>
      </c>
      <c r="G8" s="17">
        <f t="shared" si="0"/>
        <v>480</v>
      </c>
      <c r="I8" s="3" t="s">
        <v>7</v>
      </c>
      <c r="J8" s="3">
        <f>SUMIF(C2:C502,I8,E2:E502)</f>
        <v>682</v>
      </c>
      <c r="K8" s="17">
        <f>SUMIF(C2:C502,I8,G2:G502)</f>
        <v>130780</v>
      </c>
    </row>
    <row r="9" spans="1:16" x14ac:dyDescent="0.3">
      <c r="A9" s="4">
        <v>46024</v>
      </c>
      <c r="B9" s="3" t="s">
        <v>16</v>
      </c>
      <c r="C9" s="3" t="s">
        <v>10</v>
      </c>
      <c r="D9" s="14">
        <v>150</v>
      </c>
      <c r="E9" s="3">
        <v>5</v>
      </c>
      <c r="F9" s="3" t="s">
        <v>12</v>
      </c>
      <c r="G9" s="17">
        <f t="shared" si="0"/>
        <v>750</v>
      </c>
      <c r="I9" s="7" t="s">
        <v>27</v>
      </c>
      <c r="J9" s="7">
        <f>SUM(J7:J8)</f>
        <v>1493</v>
      </c>
      <c r="K9" s="18">
        <f>SUM(K7:K8)</f>
        <v>279130</v>
      </c>
    </row>
    <row r="10" spans="1:16" x14ac:dyDescent="0.3">
      <c r="A10" s="4">
        <v>46024</v>
      </c>
      <c r="B10" s="3" t="s">
        <v>16</v>
      </c>
      <c r="C10" s="3" t="s">
        <v>10</v>
      </c>
      <c r="D10" s="14">
        <v>150</v>
      </c>
      <c r="E10" s="3">
        <v>4</v>
      </c>
      <c r="F10" s="3" t="s">
        <v>12</v>
      </c>
      <c r="G10" s="17">
        <f t="shared" si="0"/>
        <v>600</v>
      </c>
    </row>
    <row r="11" spans="1:16" x14ac:dyDescent="0.3">
      <c r="A11" s="4">
        <v>46024</v>
      </c>
      <c r="B11" s="3" t="s">
        <v>18</v>
      </c>
      <c r="C11" s="3" t="s">
        <v>7</v>
      </c>
      <c r="D11" s="14">
        <v>140</v>
      </c>
      <c r="E11" s="3">
        <v>5</v>
      </c>
      <c r="F11" s="3" t="s">
        <v>12</v>
      </c>
      <c r="G11" s="17">
        <f t="shared" si="0"/>
        <v>700</v>
      </c>
      <c r="I11" s="7" t="s">
        <v>5</v>
      </c>
      <c r="J11" s="7" t="s">
        <v>23</v>
      </c>
      <c r="K11" s="18" t="s">
        <v>26</v>
      </c>
    </row>
    <row r="12" spans="1:16" x14ac:dyDescent="0.3">
      <c r="A12" s="4">
        <v>46024</v>
      </c>
      <c r="B12" s="3" t="s">
        <v>17</v>
      </c>
      <c r="C12" s="3" t="s">
        <v>10</v>
      </c>
      <c r="D12" s="14">
        <v>240</v>
      </c>
      <c r="E12" s="3">
        <v>1</v>
      </c>
      <c r="F12" s="3" t="s">
        <v>14</v>
      </c>
      <c r="G12" s="17">
        <f t="shared" si="0"/>
        <v>240</v>
      </c>
      <c r="I12" s="3" t="s">
        <v>12</v>
      </c>
      <c r="J12" s="3">
        <f>SUMIF(F1:F501,I12,E1:E501)</f>
        <v>591</v>
      </c>
      <c r="K12" s="17">
        <f>SUMIF(F1:F501,I12,G1:G501)</f>
        <v>110060</v>
      </c>
    </row>
    <row r="13" spans="1:16" x14ac:dyDescent="0.3">
      <c r="A13" s="4">
        <v>46024</v>
      </c>
      <c r="B13" s="3" t="s">
        <v>16</v>
      </c>
      <c r="C13" s="3" t="s">
        <v>10</v>
      </c>
      <c r="D13" s="14">
        <v>150</v>
      </c>
      <c r="E13" s="3">
        <v>1</v>
      </c>
      <c r="F13" s="3" t="s">
        <v>8</v>
      </c>
      <c r="G13" s="17">
        <f t="shared" si="0"/>
        <v>150</v>
      </c>
      <c r="I13" s="3" t="s">
        <v>8</v>
      </c>
      <c r="J13" s="3">
        <f>SUMIF(F2:F502,I13,E2:E502)</f>
        <v>485</v>
      </c>
      <c r="K13" s="17">
        <f>SUMIF(F2:F502,I13,G2:G502)</f>
        <v>87320</v>
      </c>
    </row>
    <row r="14" spans="1:16" x14ac:dyDescent="0.3">
      <c r="A14" s="4">
        <v>46024</v>
      </c>
      <c r="B14" s="3" t="s">
        <v>13</v>
      </c>
      <c r="C14" s="3" t="s">
        <v>7</v>
      </c>
      <c r="D14" s="14">
        <v>280</v>
      </c>
      <c r="E14" s="3">
        <v>5</v>
      </c>
      <c r="F14" s="3" t="s">
        <v>8</v>
      </c>
      <c r="G14" s="17">
        <f t="shared" si="0"/>
        <v>1400</v>
      </c>
      <c r="I14" s="8" t="s">
        <v>14</v>
      </c>
      <c r="J14" s="3">
        <f>SUMIF(F3:F503,I14,E3:E503)</f>
        <v>417</v>
      </c>
      <c r="K14" s="17">
        <f>SUMIF(F3:F503,I14,G3:G503)</f>
        <v>81750</v>
      </c>
    </row>
    <row r="15" spans="1:16" x14ac:dyDescent="0.3">
      <c r="A15" s="4">
        <v>46025</v>
      </c>
      <c r="B15" s="3" t="s">
        <v>13</v>
      </c>
      <c r="C15" s="3" t="s">
        <v>7</v>
      </c>
      <c r="D15" s="14">
        <v>280</v>
      </c>
      <c r="E15" s="3">
        <v>3</v>
      </c>
      <c r="F15" s="3" t="s">
        <v>12</v>
      </c>
      <c r="G15" s="17">
        <f t="shared" si="0"/>
        <v>840</v>
      </c>
      <c r="I15" s="7" t="s">
        <v>27</v>
      </c>
      <c r="J15" s="7">
        <f>SUM(J12:J14)</f>
        <v>1493</v>
      </c>
      <c r="K15" s="18">
        <f>SUM(K12:K14)</f>
        <v>279130</v>
      </c>
    </row>
    <row r="16" spans="1:16" x14ac:dyDescent="0.3">
      <c r="A16" s="4">
        <v>46025</v>
      </c>
      <c r="B16" s="3" t="s">
        <v>13</v>
      </c>
      <c r="C16" s="3" t="s">
        <v>7</v>
      </c>
      <c r="D16" s="14">
        <v>280</v>
      </c>
      <c r="E16" s="3">
        <v>1</v>
      </c>
      <c r="F16" s="3" t="s">
        <v>8</v>
      </c>
      <c r="G16" s="17">
        <f t="shared" si="0"/>
        <v>280</v>
      </c>
    </row>
    <row r="17" spans="1:7" x14ac:dyDescent="0.3">
      <c r="A17" s="4">
        <v>46025</v>
      </c>
      <c r="B17" s="3" t="s">
        <v>19</v>
      </c>
      <c r="C17" s="3" t="s">
        <v>7</v>
      </c>
      <c r="D17" s="14">
        <v>90</v>
      </c>
      <c r="E17" s="3">
        <v>4</v>
      </c>
      <c r="F17" s="3" t="s">
        <v>8</v>
      </c>
      <c r="G17" s="17">
        <f t="shared" si="0"/>
        <v>360</v>
      </c>
    </row>
    <row r="18" spans="1:7" x14ac:dyDescent="0.3">
      <c r="A18" s="4">
        <v>46025</v>
      </c>
      <c r="B18" s="3" t="s">
        <v>9</v>
      </c>
      <c r="C18" s="3" t="s">
        <v>10</v>
      </c>
      <c r="D18" s="14">
        <v>120</v>
      </c>
      <c r="E18" s="3">
        <v>2</v>
      </c>
      <c r="F18" s="3" t="s">
        <v>8</v>
      </c>
      <c r="G18" s="17">
        <f t="shared" si="0"/>
        <v>240</v>
      </c>
    </row>
    <row r="19" spans="1:7" x14ac:dyDescent="0.3">
      <c r="A19" s="4">
        <v>46026</v>
      </c>
      <c r="B19" s="3" t="s">
        <v>19</v>
      </c>
      <c r="C19" s="3" t="s">
        <v>7</v>
      </c>
      <c r="D19" s="14">
        <v>90</v>
      </c>
      <c r="E19" s="3">
        <v>4</v>
      </c>
      <c r="F19" s="3" t="s">
        <v>12</v>
      </c>
      <c r="G19" s="17">
        <f t="shared" si="0"/>
        <v>360</v>
      </c>
    </row>
    <row r="20" spans="1:7" x14ac:dyDescent="0.3">
      <c r="A20" s="4">
        <v>46026</v>
      </c>
      <c r="B20" s="3" t="s">
        <v>21</v>
      </c>
      <c r="C20" s="3" t="s">
        <v>7</v>
      </c>
      <c r="D20" s="14">
        <v>320</v>
      </c>
      <c r="E20" s="3">
        <v>1</v>
      </c>
      <c r="F20" s="3" t="s">
        <v>14</v>
      </c>
      <c r="G20" s="17">
        <f t="shared" si="0"/>
        <v>320</v>
      </c>
    </row>
    <row r="21" spans="1:7" x14ac:dyDescent="0.3">
      <c r="A21" s="4">
        <v>46026</v>
      </c>
      <c r="B21" s="3" t="s">
        <v>16</v>
      </c>
      <c r="C21" s="3" t="s">
        <v>10</v>
      </c>
      <c r="D21" s="14">
        <v>150</v>
      </c>
      <c r="E21" s="3">
        <v>1</v>
      </c>
      <c r="F21" s="3" t="s">
        <v>8</v>
      </c>
      <c r="G21" s="17">
        <f t="shared" si="0"/>
        <v>150</v>
      </c>
    </row>
    <row r="22" spans="1:7" x14ac:dyDescent="0.3">
      <c r="A22" s="4">
        <v>46026</v>
      </c>
      <c r="B22" s="3" t="s">
        <v>20</v>
      </c>
      <c r="C22" s="3" t="s">
        <v>10</v>
      </c>
      <c r="D22" s="14">
        <v>180</v>
      </c>
      <c r="E22" s="3">
        <v>1</v>
      </c>
      <c r="F22" s="3" t="s">
        <v>8</v>
      </c>
      <c r="G22" s="17">
        <f t="shared" si="0"/>
        <v>180</v>
      </c>
    </row>
    <row r="23" spans="1:7" x14ac:dyDescent="0.3">
      <c r="A23" s="4">
        <v>46026</v>
      </c>
      <c r="B23" s="3" t="s">
        <v>20</v>
      </c>
      <c r="C23" s="3" t="s">
        <v>10</v>
      </c>
      <c r="D23" s="14">
        <v>180</v>
      </c>
      <c r="E23" s="3">
        <v>2</v>
      </c>
      <c r="F23" s="3" t="s">
        <v>8</v>
      </c>
      <c r="G23" s="17">
        <f t="shared" si="0"/>
        <v>360</v>
      </c>
    </row>
    <row r="24" spans="1:7" x14ac:dyDescent="0.3">
      <c r="A24" s="4">
        <v>46027</v>
      </c>
      <c r="B24" s="3" t="s">
        <v>9</v>
      </c>
      <c r="C24" s="3" t="s">
        <v>10</v>
      </c>
      <c r="D24" s="14">
        <v>120</v>
      </c>
      <c r="E24" s="3">
        <v>3</v>
      </c>
      <c r="F24" s="3" t="s">
        <v>12</v>
      </c>
      <c r="G24" s="17">
        <f t="shared" si="0"/>
        <v>360</v>
      </c>
    </row>
    <row r="25" spans="1:7" x14ac:dyDescent="0.3">
      <c r="A25" s="4">
        <v>46027</v>
      </c>
      <c r="B25" s="3" t="s">
        <v>22</v>
      </c>
      <c r="C25" s="3" t="s">
        <v>10</v>
      </c>
      <c r="D25" s="14">
        <v>220</v>
      </c>
      <c r="E25" s="3">
        <v>4</v>
      </c>
      <c r="F25" s="3" t="s">
        <v>12</v>
      </c>
      <c r="G25" s="17">
        <f t="shared" si="0"/>
        <v>880</v>
      </c>
    </row>
    <row r="26" spans="1:7" x14ac:dyDescent="0.3">
      <c r="A26" s="4">
        <v>46027</v>
      </c>
      <c r="B26" s="3" t="s">
        <v>13</v>
      </c>
      <c r="C26" s="3" t="s">
        <v>7</v>
      </c>
      <c r="D26" s="14">
        <v>280</v>
      </c>
      <c r="E26" s="3">
        <v>4</v>
      </c>
      <c r="F26" s="3" t="s">
        <v>8</v>
      </c>
      <c r="G26" s="17">
        <f t="shared" si="0"/>
        <v>1120</v>
      </c>
    </row>
    <row r="27" spans="1:7" x14ac:dyDescent="0.3">
      <c r="A27" s="4">
        <v>46027</v>
      </c>
      <c r="B27" s="3" t="s">
        <v>17</v>
      </c>
      <c r="C27" s="3" t="s">
        <v>10</v>
      </c>
      <c r="D27" s="14">
        <v>240</v>
      </c>
      <c r="E27" s="3">
        <v>2</v>
      </c>
      <c r="F27" s="3" t="s">
        <v>8</v>
      </c>
      <c r="G27" s="17">
        <f t="shared" si="0"/>
        <v>480</v>
      </c>
    </row>
    <row r="28" spans="1:7" x14ac:dyDescent="0.3">
      <c r="A28" s="4">
        <v>46028</v>
      </c>
      <c r="B28" s="3" t="s">
        <v>9</v>
      </c>
      <c r="C28" s="3" t="s">
        <v>10</v>
      </c>
      <c r="D28" s="14">
        <v>120</v>
      </c>
      <c r="E28" s="3">
        <v>5</v>
      </c>
      <c r="F28" s="3" t="s">
        <v>12</v>
      </c>
      <c r="G28" s="17">
        <f t="shared" si="0"/>
        <v>600</v>
      </c>
    </row>
    <row r="29" spans="1:7" x14ac:dyDescent="0.3">
      <c r="A29" s="4">
        <v>46028</v>
      </c>
      <c r="B29" s="3" t="s">
        <v>19</v>
      </c>
      <c r="C29" s="3" t="s">
        <v>7</v>
      </c>
      <c r="D29" s="14">
        <v>90</v>
      </c>
      <c r="E29" s="3">
        <v>1</v>
      </c>
      <c r="F29" s="3" t="s">
        <v>8</v>
      </c>
      <c r="G29" s="17">
        <f t="shared" si="0"/>
        <v>90</v>
      </c>
    </row>
    <row r="30" spans="1:7" x14ac:dyDescent="0.3">
      <c r="A30" s="4">
        <v>46029</v>
      </c>
      <c r="B30" s="3" t="s">
        <v>11</v>
      </c>
      <c r="C30" s="3" t="s">
        <v>7</v>
      </c>
      <c r="D30" s="14">
        <v>180</v>
      </c>
      <c r="E30" s="3">
        <v>1</v>
      </c>
      <c r="F30" s="3" t="s">
        <v>12</v>
      </c>
      <c r="G30" s="17">
        <f t="shared" si="0"/>
        <v>180</v>
      </c>
    </row>
    <row r="31" spans="1:7" x14ac:dyDescent="0.3">
      <c r="A31" s="4">
        <v>46029</v>
      </c>
      <c r="B31" s="3" t="s">
        <v>19</v>
      </c>
      <c r="C31" s="3" t="s">
        <v>7</v>
      </c>
      <c r="D31" s="14">
        <v>90</v>
      </c>
      <c r="E31" s="3">
        <v>4</v>
      </c>
      <c r="F31" s="3" t="s">
        <v>12</v>
      </c>
      <c r="G31" s="17">
        <f t="shared" si="0"/>
        <v>360</v>
      </c>
    </row>
    <row r="32" spans="1:7" x14ac:dyDescent="0.3">
      <c r="A32" s="4">
        <v>46029</v>
      </c>
      <c r="B32" s="3" t="s">
        <v>9</v>
      </c>
      <c r="C32" s="3" t="s">
        <v>10</v>
      </c>
      <c r="D32" s="14">
        <v>120</v>
      </c>
      <c r="E32" s="3">
        <v>1</v>
      </c>
      <c r="F32" s="3" t="s">
        <v>14</v>
      </c>
      <c r="G32" s="17">
        <f t="shared" si="0"/>
        <v>120</v>
      </c>
    </row>
    <row r="33" spans="1:7" x14ac:dyDescent="0.3">
      <c r="A33" s="4">
        <v>46029</v>
      </c>
      <c r="B33" s="3" t="s">
        <v>19</v>
      </c>
      <c r="C33" s="3" t="s">
        <v>7</v>
      </c>
      <c r="D33" s="14">
        <v>90</v>
      </c>
      <c r="E33" s="3">
        <v>4</v>
      </c>
      <c r="F33" s="3" t="s">
        <v>8</v>
      </c>
      <c r="G33" s="17">
        <f t="shared" si="0"/>
        <v>360</v>
      </c>
    </row>
    <row r="34" spans="1:7" x14ac:dyDescent="0.3">
      <c r="A34" s="4">
        <v>46029</v>
      </c>
      <c r="B34" s="3" t="s">
        <v>9</v>
      </c>
      <c r="C34" s="3" t="s">
        <v>10</v>
      </c>
      <c r="D34" s="14">
        <v>120</v>
      </c>
      <c r="E34" s="3">
        <v>3</v>
      </c>
      <c r="F34" s="3" t="s">
        <v>8</v>
      </c>
      <c r="G34" s="17">
        <f t="shared" si="0"/>
        <v>360</v>
      </c>
    </row>
    <row r="35" spans="1:7" x14ac:dyDescent="0.3">
      <c r="A35" s="4">
        <v>46030</v>
      </c>
      <c r="B35" s="3" t="s">
        <v>11</v>
      </c>
      <c r="C35" s="3" t="s">
        <v>7</v>
      </c>
      <c r="D35" s="14">
        <v>180</v>
      </c>
      <c r="E35" s="3">
        <v>2</v>
      </c>
      <c r="F35" s="3" t="s">
        <v>12</v>
      </c>
      <c r="G35" s="17">
        <f t="shared" si="0"/>
        <v>360</v>
      </c>
    </row>
    <row r="36" spans="1:7" x14ac:dyDescent="0.3">
      <c r="A36" s="4">
        <v>46030</v>
      </c>
      <c r="B36" s="3" t="s">
        <v>6</v>
      </c>
      <c r="C36" s="3" t="s">
        <v>7</v>
      </c>
      <c r="D36" s="14">
        <v>150</v>
      </c>
      <c r="E36" s="3">
        <v>4</v>
      </c>
      <c r="F36" s="3" t="s">
        <v>12</v>
      </c>
      <c r="G36" s="17">
        <f t="shared" si="0"/>
        <v>600</v>
      </c>
    </row>
    <row r="37" spans="1:7" x14ac:dyDescent="0.3">
      <c r="A37" s="4">
        <v>46030</v>
      </c>
      <c r="B37" s="3" t="s">
        <v>6</v>
      </c>
      <c r="C37" s="3" t="s">
        <v>7</v>
      </c>
      <c r="D37" s="14">
        <v>150</v>
      </c>
      <c r="E37" s="3">
        <v>4</v>
      </c>
      <c r="F37" s="3" t="s">
        <v>12</v>
      </c>
      <c r="G37" s="17">
        <f t="shared" si="0"/>
        <v>600</v>
      </c>
    </row>
    <row r="38" spans="1:7" x14ac:dyDescent="0.3">
      <c r="A38" s="4">
        <v>46030</v>
      </c>
      <c r="B38" s="3" t="s">
        <v>13</v>
      </c>
      <c r="C38" s="3" t="s">
        <v>7</v>
      </c>
      <c r="D38" s="14">
        <v>280</v>
      </c>
      <c r="E38" s="3">
        <v>3</v>
      </c>
      <c r="F38" s="3" t="s">
        <v>12</v>
      </c>
      <c r="G38" s="17">
        <f t="shared" si="0"/>
        <v>840</v>
      </c>
    </row>
    <row r="39" spans="1:7" x14ac:dyDescent="0.3">
      <c r="A39" s="4">
        <v>46030</v>
      </c>
      <c r="B39" s="3" t="s">
        <v>17</v>
      </c>
      <c r="C39" s="3" t="s">
        <v>10</v>
      </c>
      <c r="D39" s="14">
        <v>240</v>
      </c>
      <c r="E39" s="3">
        <v>4</v>
      </c>
      <c r="F39" s="3" t="s">
        <v>12</v>
      </c>
      <c r="G39" s="17">
        <f t="shared" si="0"/>
        <v>960</v>
      </c>
    </row>
    <row r="40" spans="1:7" x14ac:dyDescent="0.3">
      <c r="A40" s="4">
        <v>46030</v>
      </c>
      <c r="B40" s="3" t="s">
        <v>16</v>
      </c>
      <c r="C40" s="3" t="s">
        <v>10</v>
      </c>
      <c r="D40" s="14">
        <v>150</v>
      </c>
      <c r="E40" s="3">
        <v>3</v>
      </c>
      <c r="F40" s="3" t="s">
        <v>14</v>
      </c>
      <c r="G40" s="17">
        <f t="shared" si="0"/>
        <v>450</v>
      </c>
    </row>
    <row r="41" spans="1:7" x14ac:dyDescent="0.3">
      <c r="A41" s="4">
        <v>46030</v>
      </c>
      <c r="B41" s="3" t="s">
        <v>9</v>
      </c>
      <c r="C41" s="3" t="s">
        <v>10</v>
      </c>
      <c r="D41" s="14">
        <v>120</v>
      </c>
      <c r="E41" s="3">
        <v>4</v>
      </c>
      <c r="F41" s="3" t="s">
        <v>14</v>
      </c>
      <c r="G41" s="17">
        <f t="shared" si="0"/>
        <v>480</v>
      </c>
    </row>
    <row r="42" spans="1:7" x14ac:dyDescent="0.3">
      <c r="A42" s="4">
        <v>46030</v>
      </c>
      <c r="B42" s="3" t="s">
        <v>22</v>
      </c>
      <c r="C42" s="3" t="s">
        <v>10</v>
      </c>
      <c r="D42" s="14">
        <v>220</v>
      </c>
      <c r="E42" s="3">
        <v>3</v>
      </c>
      <c r="F42" s="3" t="s">
        <v>14</v>
      </c>
      <c r="G42" s="17">
        <f t="shared" si="0"/>
        <v>660</v>
      </c>
    </row>
    <row r="43" spans="1:7" x14ac:dyDescent="0.3">
      <c r="A43" s="4">
        <v>46030</v>
      </c>
      <c r="B43" s="3" t="s">
        <v>22</v>
      </c>
      <c r="C43" s="3" t="s">
        <v>10</v>
      </c>
      <c r="D43" s="14">
        <v>220</v>
      </c>
      <c r="E43" s="3">
        <v>5</v>
      </c>
      <c r="F43" s="3" t="s">
        <v>14</v>
      </c>
      <c r="G43" s="17">
        <f t="shared" si="0"/>
        <v>1100</v>
      </c>
    </row>
    <row r="44" spans="1:7" x14ac:dyDescent="0.3">
      <c r="A44" s="4">
        <v>46030</v>
      </c>
      <c r="B44" s="3" t="s">
        <v>20</v>
      </c>
      <c r="C44" s="3" t="s">
        <v>10</v>
      </c>
      <c r="D44" s="14">
        <v>180</v>
      </c>
      <c r="E44" s="3">
        <v>5</v>
      </c>
      <c r="F44" s="3" t="s">
        <v>8</v>
      </c>
      <c r="G44" s="17">
        <f t="shared" si="0"/>
        <v>900</v>
      </c>
    </row>
    <row r="45" spans="1:7" x14ac:dyDescent="0.3">
      <c r="A45" s="4">
        <v>46030</v>
      </c>
      <c r="B45" s="3" t="s">
        <v>21</v>
      </c>
      <c r="C45" s="3" t="s">
        <v>7</v>
      </c>
      <c r="D45" s="14">
        <v>320</v>
      </c>
      <c r="E45" s="3">
        <v>3</v>
      </c>
      <c r="F45" s="3" t="s">
        <v>8</v>
      </c>
      <c r="G45" s="17">
        <f t="shared" si="0"/>
        <v>960</v>
      </c>
    </row>
    <row r="46" spans="1:7" x14ac:dyDescent="0.3">
      <c r="A46" s="4">
        <v>46030</v>
      </c>
      <c r="B46" s="3" t="s">
        <v>21</v>
      </c>
      <c r="C46" s="3" t="s">
        <v>7</v>
      </c>
      <c r="D46" s="14">
        <v>320</v>
      </c>
      <c r="E46" s="3">
        <v>4</v>
      </c>
      <c r="F46" s="3" t="s">
        <v>8</v>
      </c>
      <c r="G46" s="17">
        <f t="shared" si="0"/>
        <v>1280</v>
      </c>
    </row>
    <row r="47" spans="1:7" x14ac:dyDescent="0.3">
      <c r="A47" s="4">
        <v>46031</v>
      </c>
      <c r="B47" s="3" t="s">
        <v>6</v>
      </c>
      <c r="C47" s="3" t="s">
        <v>7</v>
      </c>
      <c r="D47" s="14">
        <v>150</v>
      </c>
      <c r="E47" s="3">
        <v>5</v>
      </c>
      <c r="F47" s="3" t="s">
        <v>14</v>
      </c>
      <c r="G47" s="17">
        <f t="shared" si="0"/>
        <v>750</v>
      </c>
    </row>
    <row r="48" spans="1:7" x14ac:dyDescent="0.3">
      <c r="A48" s="4">
        <v>46031</v>
      </c>
      <c r="B48" s="3" t="s">
        <v>20</v>
      </c>
      <c r="C48" s="3" t="s">
        <v>10</v>
      </c>
      <c r="D48" s="14">
        <v>180</v>
      </c>
      <c r="E48" s="3">
        <v>3</v>
      </c>
      <c r="F48" s="3" t="s">
        <v>8</v>
      </c>
      <c r="G48" s="17">
        <f t="shared" si="0"/>
        <v>540</v>
      </c>
    </row>
    <row r="49" spans="1:7" x14ac:dyDescent="0.3">
      <c r="A49" s="4">
        <v>46031</v>
      </c>
      <c r="B49" s="3" t="s">
        <v>22</v>
      </c>
      <c r="C49" s="3" t="s">
        <v>10</v>
      </c>
      <c r="D49" s="14">
        <v>220</v>
      </c>
      <c r="E49" s="3">
        <v>3</v>
      </c>
      <c r="F49" s="3" t="s">
        <v>8</v>
      </c>
      <c r="G49" s="17">
        <f t="shared" si="0"/>
        <v>660</v>
      </c>
    </row>
    <row r="50" spans="1:7" x14ac:dyDescent="0.3">
      <c r="A50" s="4">
        <v>46032</v>
      </c>
      <c r="B50" s="3" t="s">
        <v>6</v>
      </c>
      <c r="C50" s="3" t="s">
        <v>7</v>
      </c>
      <c r="D50" s="14">
        <v>150</v>
      </c>
      <c r="E50" s="3">
        <v>3</v>
      </c>
      <c r="F50" s="3" t="s">
        <v>12</v>
      </c>
      <c r="G50" s="17">
        <f t="shared" si="0"/>
        <v>450</v>
      </c>
    </row>
    <row r="51" spans="1:7" x14ac:dyDescent="0.3">
      <c r="A51" s="4">
        <v>46032</v>
      </c>
      <c r="B51" s="3" t="s">
        <v>18</v>
      </c>
      <c r="C51" s="3" t="s">
        <v>7</v>
      </c>
      <c r="D51" s="14">
        <v>140</v>
      </c>
      <c r="E51" s="3">
        <v>2</v>
      </c>
      <c r="F51" s="3" t="s">
        <v>12</v>
      </c>
      <c r="G51" s="17">
        <f t="shared" si="0"/>
        <v>280</v>
      </c>
    </row>
    <row r="52" spans="1:7" x14ac:dyDescent="0.3">
      <c r="A52" s="4">
        <v>46032</v>
      </c>
      <c r="B52" s="3" t="s">
        <v>20</v>
      </c>
      <c r="C52" s="3" t="s">
        <v>10</v>
      </c>
      <c r="D52" s="14">
        <v>180</v>
      </c>
      <c r="E52" s="3">
        <v>1</v>
      </c>
      <c r="F52" s="3" t="s">
        <v>14</v>
      </c>
      <c r="G52" s="17">
        <f t="shared" si="0"/>
        <v>180</v>
      </c>
    </row>
    <row r="53" spans="1:7" x14ac:dyDescent="0.3">
      <c r="A53" s="4">
        <v>46033</v>
      </c>
      <c r="B53" s="3" t="s">
        <v>18</v>
      </c>
      <c r="C53" s="3" t="s">
        <v>7</v>
      </c>
      <c r="D53" s="14">
        <v>140</v>
      </c>
      <c r="E53" s="3">
        <v>1</v>
      </c>
      <c r="F53" s="3" t="s">
        <v>14</v>
      </c>
      <c r="G53" s="17">
        <f t="shared" si="0"/>
        <v>140</v>
      </c>
    </row>
    <row r="54" spans="1:7" x14ac:dyDescent="0.3">
      <c r="A54" s="4">
        <v>46033</v>
      </c>
      <c r="B54" s="3" t="s">
        <v>6</v>
      </c>
      <c r="C54" s="3" t="s">
        <v>7</v>
      </c>
      <c r="D54" s="14">
        <v>150</v>
      </c>
      <c r="E54" s="3">
        <v>2</v>
      </c>
      <c r="F54" s="3" t="s">
        <v>8</v>
      </c>
      <c r="G54" s="17">
        <f t="shared" si="0"/>
        <v>300</v>
      </c>
    </row>
    <row r="55" spans="1:7" x14ac:dyDescent="0.3">
      <c r="A55" s="4">
        <v>46034</v>
      </c>
      <c r="B55" s="3" t="s">
        <v>16</v>
      </c>
      <c r="C55" s="3" t="s">
        <v>10</v>
      </c>
      <c r="D55" s="14">
        <v>150</v>
      </c>
      <c r="E55" s="3">
        <v>4</v>
      </c>
      <c r="F55" s="3" t="s">
        <v>12</v>
      </c>
      <c r="G55" s="17">
        <f t="shared" si="0"/>
        <v>600</v>
      </c>
    </row>
    <row r="56" spans="1:7" x14ac:dyDescent="0.3">
      <c r="A56" s="4">
        <v>46034</v>
      </c>
      <c r="B56" s="3" t="s">
        <v>22</v>
      </c>
      <c r="C56" s="3" t="s">
        <v>10</v>
      </c>
      <c r="D56" s="14">
        <v>220</v>
      </c>
      <c r="E56" s="3">
        <v>4</v>
      </c>
      <c r="F56" s="3" t="s">
        <v>12</v>
      </c>
      <c r="G56" s="17">
        <f t="shared" si="0"/>
        <v>880</v>
      </c>
    </row>
    <row r="57" spans="1:7" x14ac:dyDescent="0.3">
      <c r="A57" s="4">
        <v>46034</v>
      </c>
      <c r="B57" s="3" t="s">
        <v>17</v>
      </c>
      <c r="C57" s="3" t="s">
        <v>10</v>
      </c>
      <c r="D57" s="14">
        <v>240</v>
      </c>
      <c r="E57" s="3">
        <v>5</v>
      </c>
      <c r="F57" s="3" t="s">
        <v>12</v>
      </c>
      <c r="G57" s="17">
        <f t="shared" si="0"/>
        <v>1200</v>
      </c>
    </row>
    <row r="58" spans="1:7" x14ac:dyDescent="0.3">
      <c r="A58" s="4">
        <v>46034</v>
      </c>
      <c r="B58" s="3" t="s">
        <v>6</v>
      </c>
      <c r="C58" s="3" t="s">
        <v>7</v>
      </c>
      <c r="D58" s="14">
        <v>150</v>
      </c>
      <c r="E58" s="3">
        <v>5</v>
      </c>
      <c r="F58" s="3" t="s">
        <v>14</v>
      </c>
      <c r="G58" s="17">
        <f t="shared" si="0"/>
        <v>750</v>
      </c>
    </row>
    <row r="59" spans="1:7" x14ac:dyDescent="0.3">
      <c r="A59" s="4">
        <v>46034</v>
      </c>
      <c r="B59" s="3" t="s">
        <v>6</v>
      </c>
      <c r="C59" s="3" t="s">
        <v>7</v>
      </c>
      <c r="D59" s="14">
        <v>150</v>
      </c>
      <c r="E59" s="3">
        <v>2</v>
      </c>
      <c r="F59" s="3" t="s">
        <v>14</v>
      </c>
      <c r="G59" s="17">
        <f t="shared" si="0"/>
        <v>300</v>
      </c>
    </row>
    <row r="60" spans="1:7" x14ac:dyDescent="0.3">
      <c r="A60" s="4">
        <v>46034</v>
      </c>
      <c r="B60" s="3" t="s">
        <v>21</v>
      </c>
      <c r="C60" s="3" t="s">
        <v>7</v>
      </c>
      <c r="D60" s="14">
        <v>320</v>
      </c>
      <c r="E60" s="3">
        <v>2</v>
      </c>
      <c r="F60" s="3" t="s">
        <v>14</v>
      </c>
      <c r="G60" s="17">
        <f t="shared" si="0"/>
        <v>640</v>
      </c>
    </row>
    <row r="61" spans="1:7" x14ac:dyDescent="0.3">
      <c r="A61" s="4">
        <v>46034</v>
      </c>
      <c r="B61" s="3" t="s">
        <v>16</v>
      </c>
      <c r="C61" s="3" t="s">
        <v>10</v>
      </c>
      <c r="D61" s="14">
        <v>150</v>
      </c>
      <c r="E61" s="3">
        <v>2</v>
      </c>
      <c r="F61" s="3" t="s">
        <v>8</v>
      </c>
      <c r="G61" s="17">
        <f t="shared" si="0"/>
        <v>300</v>
      </c>
    </row>
    <row r="62" spans="1:7" x14ac:dyDescent="0.3">
      <c r="A62" s="4">
        <v>46034</v>
      </c>
      <c r="B62" s="3" t="s">
        <v>6</v>
      </c>
      <c r="C62" s="3" t="s">
        <v>7</v>
      </c>
      <c r="D62" s="14">
        <v>150</v>
      </c>
      <c r="E62" s="3">
        <v>4</v>
      </c>
      <c r="F62" s="3" t="s">
        <v>8</v>
      </c>
      <c r="G62" s="17">
        <f t="shared" si="0"/>
        <v>600</v>
      </c>
    </row>
    <row r="63" spans="1:7" x14ac:dyDescent="0.3">
      <c r="A63" s="4">
        <v>46035</v>
      </c>
      <c r="B63" s="3" t="s">
        <v>19</v>
      </c>
      <c r="C63" s="3" t="s">
        <v>7</v>
      </c>
      <c r="D63" s="14">
        <v>90</v>
      </c>
      <c r="E63" s="3">
        <v>5</v>
      </c>
      <c r="F63" s="3" t="s">
        <v>12</v>
      </c>
      <c r="G63" s="17">
        <f t="shared" si="0"/>
        <v>450</v>
      </c>
    </row>
    <row r="64" spans="1:7" x14ac:dyDescent="0.3">
      <c r="A64" s="4">
        <v>46035</v>
      </c>
      <c r="B64" s="3" t="s">
        <v>22</v>
      </c>
      <c r="C64" s="3" t="s">
        <v>10</v>
      </c>
      <c r="D64" s="14">
        <v>220</v>
      </c>
      <c r="E64" s="3">
        <v>3</v>
      </c>
      <c r="F64" s="3" t="s">
        <v>14</v>
      </c>
      <c r="G64" s="17">
        <f t="shared" si="0"/>
        <v>660</v>
      </c>
    </row>
    <row r="65" spans="1:7" x14ac:dyDescent="0.3">
      <c r="A65" s="4">
        <v>46036</v>
      </c>
      <c r="B65" s="3" t="s">
        <v>11</v>
      </c>
      <c r="C65" s="3" t="s">
        <v>7</v>
      </c>
      <c r="D65" s="14">
        <v>180</v>
      </c>
      <c r="E65" s="3">
        <v>1</v>
      </c>
      <c r="F65" s="3" t="s">
        <v>12</v>
      </c>
      <c r="G65" s="17">
        <f t="shared" si="0"/>
        <v>180</v>
      </c>
    </row>
    <row r="66" spans="1:7" x14ac:dyDescent="0.3">
      <c r="A66" s="4">
        <v>46036</v>
      </c>
      <c r="B66" s="3" t="s">
        <v>6</v>
      </c>
      <c r="C66" s="3" t="s">
        <v>7</v>
      </c>
      <c r="D66" s="14">
        <v>150</v>
      </c>
      <c r="E66" s="3">
        <v>5</v>
      </c>
      <c r="F66" s="3" t="s">
        <v>12</v>
      </c>
      <c r="G66" s="17">
        <f t="shared" ref="G66:G129" si="1">D66*E66</f>
        <v>750</v>
      </c>
    </row>
    <row r="67" spans="1:7" x14ac:dyDescent="0.3">
      <c r="A67" s="4">
        <v>46036</v>
      </c>
      <c r="B67" s="3" t="s">
        <v>21</v>
      </c>
      <c r="C67" s="3" t="s">
        <v>7</v>
      </c>
      <c r="D67" s="14">
        <v>320</v>
      </c>
      <c r="E67" s="3">
        <v>3</v>
      </c>
      <c r="F67" s="3" t="s">
        <v>8</v>
      </c>
      <c r="G67" s="17">
        <f t="shared" si="1"/>
        <v>960</v>
      </c>
    </row>
    <row r="68" spans="1:7" x14ac:dyDescent="0.3">
      <c r="A68" s="4">
        <v>46037</v>
      </c>
      <c r="B68" s="3" t="s">
        <v>16</v>
      </c>
      <c r="C68" s="3" t="s">
        <v>10</v>
      </c>
      <c r="D68" s="14">
        <v>150</v>
      </c>
      <c r="E68" s="3">
        <v>5</v>
      </c>
      <c r="F68" s="3" t="s">
        <v>12</v>
      </c>
      <c r="G68" s="17">
        <f t="shared" si="1"/>
        <v>750</v>
      </c>
    </row>
    <row r="69" spans="1:7" x14ac:dyDescent="0.3">
      <c r="A69" s="4">
        <v>46037</v>
      </c>
      <c r="B69" s="3" t="s">
        <v>6</v>
      </c>
      <c r="C69" s="3" t="s">
        <v>7</v>
      </c>
      <c r="D69" s="14">
        <v>150</v>
      </c>
      <c r="E69" s="3">
        <v>2</v>
      </c>
      <c r="F69" s="3" t="s">
        <v>12</v>
      </c>
      <c r="G69" s="17">
        <f t="shared" si="1"/>
        <v>300</v>
      </c>
    </row>
    <row r="70" spans="1:7" x14ac:dyDescent="0.3">
      <c r="A70" s="4">
        <v>46037</v>
      </c>
      <c r="B70" s="3" t="s">
        <v>13</v>
      </c>
      <c r="C70" s="3" t="s">
        <v>7</v>
      </c>
      <c r="D70" s="14">
        <v>280</v>
      </c>
      <c r="E70" s="3">
        <v>5</v>
      </c>
      <c r="F70" s="3" t="s">
        <v>12</v>
      </c>
      <c r="G70" s="17">
        <f t="shared" si="1"/>
        <v>1400</v>
      </c>
    </row>
    <row r="71" spans="1:7" x14ac:dyDescent="0.3">
      <c r="A71" s="4">
        <v>46037</v>
      </c>
      <c r="B71" s="3" t="s">
        <v>18</v>
      </c>
      <c r="C71" s="3" t="s">
        <v>7</v>
      </c>
      <c r="D71" s="14">
        <v>140</v>
      </c>
      <c r="E71" s="3">
        <v>2</v>
      </c>
      <c r="F71" s="3" t="s">
        <v>14</v>
      </c>
      <c r="G71" s="17">
        <f t="shared" si="1"/>
        <v>280</v>
      </c>
    </row>
    <row r="72" spans="1:7" x14ac:dyDescent="0.3">
      <c r="A72" s="4">
        <v>46037</v>
      </c>
      <c r="B72" s="3" t="s">
        <v>16</v>
      </c>
      <c r="C72" s="3" t="s">
        <v>10</v>
      </c>
      <c r="D72" s="14">
        <v>150</v>
      </c>
      <c r="E72" s="3">
        <v>1</v>
      </c>
      <c r="F72" s="3" t="s">
        <v>8</v>
      </c>
      <c r="G72" s="17">
        <f t="shared" si="1"/>
        <v>150</v>
      </c>
    </row>
    <row r="73" spans="1:7" x14ac:dyDescent="0.3">
      <c r="A73" s="4">
        <v>46038</v>
      </c>
      <c r="B73" s="3" t="s">
        <v>6</v>
      </c>
      <c r="C73" s="3" t="s">
        <v>7</v>
      </c>
      <c r="D73" s="14">
        <v>150</v>
      </c>
      <c r="E73" s="3">
        <v>1</v>
      </c>
      <c r="F73" s="3" t="s">
        <v>12</v>
      </c>
      <c r="G73" s="17">
        <f t="shared" si="1"/>
        <v>150</v>
      </c>
    </row>
    <row r="74" spans="1:7" x14ac:dyDescent="0.3">
      <c r="A74" s="4">
        <v>46038</v>
      </c>
      <c r="B74" s="3" t="s">
        <v>11</v>
      </c>
      <c r="C74" s="3" t="s">
        <v>7</v>
      </c>
      <c r="D74" s="14">
        <v>180</v>
      </c>
      <c r="E74" s="3">
        <v>3</v>
      </c>
      <c r="F74" s="3" t="s">
        <v>14</v>
      </c>
      <c r="G74" s="17">
        <f t="shared" si="1"/>
        <v>540</v>
      </c>
    </row>
    <row r="75" spans="1:7" x14ac:dyDescent="0.3">
      <c r="A75" s="4">
        <v>46038</v>
      </c>
      <c r="B75" s="3" t="s">
        <v>11</v>
      </c>
      <c r="C75" s="3" t="s">
        <v>7</v>
      </c>
      <c r="D75" s="14">
        <v>180</v>
      </c>
      <c r="E75" s="3">
        <v>2</v>
      </c>
      <c r="F75" s="3" t="s">
        <v>14</v>
      </c>
      <c r="G75" s="17">
        <f t="shared" si="1"/>
        <v>360</v>
      </c>
    </row>
    <row r="76" spans="1:7" x14ac:dyDescent="0.3">
      <c r="A76" s="4">
        <v>46038</v>
      </c>
      <c r="B76" s="3" t="s">
        <v>9</v>
      </c>
      <c r="C76" s="3" t="s">
        <v>10</v>
      </c>
      <c r="D76" s="14">
        <v>120</v>
      </c>
      <c r="E76" s="3">
        <v>5</v>
      </c>
      <c r="F76" s="3" t="s">
        <v>14</v>
      </c>
      <c r="G76" s="17">
        <f t="shared" si="1"/>
        <v>600</v>
      </c>
    </row>
    <row r="77" spans="1:7" x14ac:dyDescent="0.3">
      <c r="A77" s="4">
        <v>46039</v>
      </c>
      <c r="B77" s="3" t="s">
        <v>18</v>
      </c>
      <c r="C77" s="3" t="s">
        <v>7</v>
      </c>
      <c r="D77" s="14">
        <v>140</v>
      </c>
      <c r="E77" s="3">
        <v>4</v>
      </c>
      <c r="F77" s="3" t="s">
        <v>12</v>
      </c>
      <c r="G77" s="17">
        <f t="shared" si="1"/>
        <v>560</v>
      </c>
    </row>
    <row r="78" spans="1:7" x14ac:dyDescent="0.3">
      <c r="A78" s="4">
        <v>46039</v>
      </c>
      <c r="B78" s="3" t="s">
        <v>20</v>
      </c>
      <c r="C78" s="3" t="s">
        <v>10</v>
      </c>
      <c r="D78" s="14">
        <v>180</v>
      </c>
      <c r="E78" s="3">
        <v>5</v>
      </c>
      <c r="F78" s="3" t="s">
        <v>14</v>
      </c>
      <c r="G78" s="17">
        <f t="shared" si="1"/>
        <v>900</v>
      </c>
    </row>
    <row r="79" spans="1:7" x14ac:dyDescent="0.3">
      <c r="A79" s="4">
        <v>46040</v>
      </c>
      <c r="B79" s="3" t="s">
        <v>19</v>
      </c>
      <c r="C79" s="3" t="s">
        <v>7</v>
      </c>
      <c r="D79" s="14">
        <v>90</v>
      </c>
      <c r="E79" s="3">
        <v>2</v>
      </c>
      <c r="F79" s="3" t="s">
        <v>8</v>
      </c>
      <c r="G79" s="17">
        <f t="shared" si="1"/>
        <v>180</v>
      </c>
    </row>
    <row r="80" spans="1:7" x14ac:dyDescent="0.3">
      <c r="A80" s="4">
        <v>46041</v>
      </c>
      <c r="B80" s="3" t="s">
        <v>16</v>
      </c>
      <c r="C80" s="3" t="s">
        <v>10</v>
      </c>
      <c r="D80" s="14">
        <v>150</v>
      </c>
      <c r="E80" s="3">
        <v>3</v>
      </c>
      <c r="F80" s="3" t="s">
        <v>12</v>
      </c>
      <c r="G80" s="17">
        <f t="shared" si="1"/>
        <v>450</v>
      </c>
    </row>
    <row r="81" spans="1:7" x14ac:dyDescent="0.3">
      <c r="A81" s="4">
        <v>46041</v>
      </c>
      <c r="B81" s="3" t="s">
        <v>18</v>
      </c>
      <c r="C81" s="3" t="s">
        <v>7</v>
      </c>
      <c r="D81" s="14">
        <v>140</v>
      </c>
      <c r="E81" s="3">
        <v>1</v>
      </c>
      <c r="F81" s="3" t="s">
        <v>12</v>
      </c>
      <c r="G81" s="17">
        <f t="shared" si="1"/>
        <v>140</v>
      </c>
    </row>
    <row r="82" spans="1:7" x14ac:dyDescent="0.3">
      <c r="A82" s="4">
        <v>46041</v>
      </c>
      <c r="B82" s="3" t="s">
        <v>17</v>
      </c>
      <c r="C82" s="3" t="s">
        <v>10</v>
      </c>
      <c r="D82" s="14">
        <v>240</v>
      </c>
      <c r="E82" s="3">
        <v>5</v>
      </c>
      <c r="F82" s="3" t="s">
        <v>12</v>
      </c>
      <c r="G82" s="17">
        <f t="shared" si="1"/>
        <v>1200</v>
      </c>
    </row>
    <row r="83" spans="1:7" x14ac:dyDescent="0.3">
      <c r="A83" s="4">
        <v>46041</v>
      </c>
      <c r="B83" s="3" t="s">
        <v>13</v>
      </c>
      <c r="C83" s="3" t="s">
        <v>7</v>
      </c>
      <c r="D83" s="14">
        <v>280</v>
      </c>
      <c r="E83" s="3">
        <v>3</v>
      </c>
      <c r="F83" s="3" t="s">
        <v>14</v>
      </c>
      <c r="G83" s="17">
        <f t="shared" si="1"/>
        <v>840</v>
      </c>
    </row>
    <row r="84" spans="1:7" x14ac:dyDescent="0.3">
      <c r="A84" s="4">
        <v>46041</v>
      </c>
      <c r="B84" s="3" t="s">
        <v>15</v>
      </c>
      <c r="C84" s="3" t="s">
        <v>10</v>
      </c>
      <c r="D84" s="14">
        <v>210</v>
      </c>
      <c r="E84" s="3">
        <v>4</v>
      </c>
      <c r="F84" s="3" t="s">
        <v>8</v>
      </c>
      <c r="G84" s="17">
        <f t="shared" si="1"/>
        <v>840</v>
      </c>
    </row>
    <row r="85" spans="1:7" x14ac:dyDescent="0.3">
      <c r="A85" s="4">
        <v>46041</v>
      </c>
      <c r="B85" s="3" t="s">
        <v>13</v>
      </c>
      <c r="C85" s="3" t="s">
        <v>7</v>
      </c>
      <c r="D85" s="14">
        <v>280</v>
      </c>
      <c r="E85" s="3">
        <v>4</v>
      </c>
      <c r="F85" s="3" t="s">
        <v>8</v>
      </c>
      <c r="G85" s="17">
        <f t="shared" si="1"/>
        <v>1120</v>
      </c>
    </row>
    <row r="86" spans="1:7" x14ac:dyDescent="0.3">
      <c r="A86" s="4">
        <v>46041</v>
      </c>
      <c r="B86" s="3" t="s">
        <v>19</v>
      </c>
      <c r="C86" s="3" t="s">
        <v>7</v>
      </c>
      <c r="D86" s="14">
        <v>90</v>
      </c>
      <c r="E86" s="3">
        <v>5</v>
      </c>
      <c r="F86" s="3" t="s">
        <v>8</v>
      </c>
      <c r="G86" s="17">
        <f t="shared" si="1"/>
        <v>450</v>
      </c>
    </row>
    <row r="87" spans="1:7" x14ac:dyDescent="0.3">
      <c r="A87" s="4">
        <v>46041</v>
      </c>
      <c r="B87" s="3" t="s">
        <v>17</v>
      </c>
      <c r="C87" s="3" t="s">
        <v>10</v>
      </c>
      <c r="D87" s="14">
        <v>240</v>
      </c>
      <c r="E87" s="3">
        <v>1</v>
      </c>
      <c r="F87" s="3" t="s">
        <v>8</v>
      </c>
      <c r="G87" s="17">
        <f t="shared" si="1"/>
        <v>240</v>
      </c>
    </row>
    <row r="88" spans="1:7" x14ac:dyDescent="0.3">
      <c r="A88" s="4">
        <v>46041</v>
      </c>
      <c r="B88" s="3" t="s">
        <v>17</v>
      </c>
      <c r="C88" s="3" t="s">
        <v>10</v>
      </c>
      <c r="D88" s="14">
        <v>240</v>
      </c>
      <c r="E88" s="3">
        <v>3</v>
      </c>
      <c r="F88" s="3" t="s">
        <v>8</v>
      </c>
      <c r="G88" s="17">
        <f t="shared" si="1"/>
        <v>720</v>
      </c>
    </row>
    <row r="89" spans="1:7" x14ac:dyDescent="0.3">
      <c r="A89" s="4">
        <v>46041</v>
      </c>
      <c r="B89" s="3" t="s">
        <v>17</v>
      </c>
      <c r="C89" s="3" t="s">
        <v>10</v>
      </c>
      <c r="D89" s="14">
        <v>240</v>
      </c>
      <c r="E89" s="3">
        <v>4</v>
      </c>
      <c r="F89" s="3" t="s">
        <v>8</v>
      </c>
      <c r="G89" s="17">
        <f t="shared" si="1"/>
        <v>960</v>
      </c>
    </row>
    <row r="90" spans="1:7" x14ac:dyDescent="0.3">
      <c r="A90" s="4">
        <v>46042</v>
      </c>
      <c r="B90" s="3" t="s">
        <v>19</v>
      </c>
      <c r="C90" s="3" t="s">
        <v>7</v>
      </c>
      <c r="D90" s="14">
        <v>90</v>
      </c>
      <c r="E90" s="3">
        <v>1</v>
      </c>
      <c r="F90" s="3" t="s">
        <v>12</v>
      </c>
      <c r="G90" s="17">
        <f t="shared" si="1"/>
        <v>90</v>
      </c>
    </row>
    <row r="91" spans="1:7" x14ac:dyDescent="0.3">
      <c r="A91" s="4">
        <v>46042</v>
      </c>
      <c r="B91" s="3" t="s">
        <v>22</v>
      </c>
      <c r="C91" s="3" t="s">
        <v>10</v>
      </c>
      <c r="D91" s="14">
        <v>220</v>
      </c>
      <c r="E91" s="3">
        <v>2</v>
      </c>
      <c r="F91" s="3" t="s">
        <v>14</v>
      </c>
      <c r="G91" s="17">
        <f t="shared" si="1"/>
        <v>440</v>
      </c>
    </row>
    <row r="92" spans="1:7" x14ac:dyDescent="0.3">
      <c r="A92" s="4">
        <v>46042</v>
      </c>
      <c r="B92" s="3" t="s">
        <v>18</v>
      </c>
      <c r="C92" s="3" t="s">
        <v>7</v>
      </c>
      <c r="D92" s="14">
        <v>140</v>
      </c>
      <c r="E92" s="3">
        <v>2</v>
      </c>
      <c r="F92" s="3" t="s">
        <v>8</v>
      </c>
      <c r="G92" s="17">
        <f t="shared" si="1"/>
        <v>280</v>
      </c>
    </row>
    <row r="93" spans="1:7" x14ac:dyDescent="0.3">
      <c r="A93" s="4">
        <v>46042</v>
      </c>
      <c r="B93" s="3" t="s">
        <v>9</v>
      </c>
      <c r="C93" s="3" t="s">
        <v>10</v>
      </c>
      <c r="D93" s="14">
        <v>120</v>
      </c>
      <c r="E93" s="3">
        <v>4</v>
      </c>
      <c r="F93" s="3" t="s">
        <v>8</v>
      </c>
      <c r="G93" s="17">
        <f t="shared" si="1"/>
        <v>480</v>
      </c>
    </row>
    <row r="94" spans="1:7" x14ac:dyDescent="0.3">
      <c r="A94" s="4">
        <v>46042</v>
      </c>
      <c r="B94" s="3" t="s">
        <v>17</v>
      </c>
      <c r="C94" s="3" t="s">
        <v>10</v>
      </c>
      <c r="D94" s="14">
        <v>240</v>
      </c>
      <c r="E94" s="3">
        <v>2</v>
      </c>
      <c r="F94" s="3" t="s">
        <v>8</v>
      </c>
      <c r="G94" s="17">
        <f t="shared" si="1"/>
        <v>480</v>
      </c>
    </row>
    <row r="95" spans="1:7" x14ac:dyDescent="0.3">
      <c r="A95" s="4">
        <v>46043</v>
      </c>
      <c r="B95" s="3" t="s">
        <v>16</v>
      </c>
      <c r="C95" s="3" t="s">
        <v>10</v>
      </c>
      <c r="D95" s="14">
        <v>150</v>
      </c>
      <c r="E95" s="3">
        <v>5</v>
      </c>
      <c r="F95" s="3" t="s">
        <v>12</v>
      </c>
      <c r="G95" s="17">
        <f t="shared" si="1"/>
        <v>750</v>
      </c>
    </row>
    <row r="96" spans="1:7" x14ac:dyDescent="0.3">
      <c r="A96" s="4">
        <v>46043</v>
      </c>
      <c r="B96" s="3" t="s">
        <v>16</v>
      </c>
      <c r="C96" s="3" t="s">
        <v>10</v>
      </c>
      <c r="D96" s="14">
        <v>150</v>
      </c>
      <c r="E96" s="3">
        <v>4</v>
      </c>
      <c r="F96" s="3" t="s">
        <v>12</v>
      </c>
      <c r="G96" s="17">
        <f t="shared" si="1"/>
        <v>600</v>
      </c>
    </row>
    <row r="97" spans="1:7" x14ac:dyDescent="0.3">
      <c r="A97" s="4">
        <v>46043</v>
      </c>
      <c r="B97" s="3" t="s">
        <v>15</v>
      </c>
      <c r="C97" s="3" t="s">
        <v>10</v>
      </c>
      <c r="D97" s="14">
        <v>210</v>
      </c>
      <c r="E97" s="3">
        <v>4</v>
      </c>
      <c r="F97" s="3" t="s">
        <v>12</v>
      </c>
      <c r="G97" s="17">
        <f t="shared" si="1"/>
        <v>840</v>
      </c>
    </row>
    <row r="98" spans="1:7" x14ac:dyDescent="0.3">
      <c r="A98" s="4">
        <v>46043</v>
      </c>
      <c r="B98" s="3" t="s">
        <v>19</v>
      </c>
      <c r="C98" s="3" t="s">
        <v>7</v>
      </c>
      <c r="D98" s="14">
        <v>90</v>
      </c>
      <c r="E98" s="3">
        <v>5</v>
      </c>
      <c r="F98" s="3" t="s">
        <v>12</v>
      </c>
      <c r="G98" s="17">
        <f t="shared" si="1"/>
        <v>450</v>
      </c>
    </row>
    <row r="99" spans="1:7" x14ac:dyDescent="0.3">
      <c r="A99" s="4">
        <v>46044</v>
      </c>
      <c r="B99" s="3" t="s">
        <v>9</v>
      </c>
      <c r="C99" s="3" t="s">
        <v>10</v>
      </c>
      <c r="D99" s="14">
        <v>120</v>
      </c>
      <c r="E99" s="3">
        <v>1</v>
      </c>
      <c r="F99" s="3" t="s">
        <v>12</v>
      </c>
      <c r="G99" s="17">
        <f t="shared" si="1"/>
        <v>120</v>
      </c>
    </row>
    <row r="100" spans="1:7" x14ac:dyDescent="0.3">
      <c r="A100" s="4">
        <v>46044</v>
      </c>
      <c r="B100" s="3" t="s">
        <v>20</v>
      </c>
      <c r="C100" s="3" t="s">
        <v>10</v>
      </c>
      <c r="D100" s="14">
        <v>180</v>
      </c>
      <c r="E100" s="3">
        <v>5</v>
      </c>
      <c r="F100" s="3" t="s">
        <v>12</v>
      </c>
      <c r="G100" s="17">
        <f t="shared" si="1"/>
        <v>900</v>
      </c>
    </row>
    <row r="101" spans="1:7" x14ac:dyDescent="0.3">
      <c r="A101" s="4">
        <v>46044</v>
      </c>
      <c r="B101" s="3" t="s">
        <v>13</v>
      </c>
      <c r="C101" s="3" t="s">
        <v>7</v>
      </c>
      <c r="D101" s="14">
        <v>280</v>
      </c>
      <c r="E101" s="3">
        <v>2</v>
      </c>
      <c r="F101" s="3" t="s">
        <v>8</v>
      </c>
      <c r="G101" s="17">
        <f t="shared" si="1"/>
        <v>560</v>
      </c>
    </row>
    <row r="102" spans="1:7" x14ac:dyDescent="0.3">
      <c r="A102" s="4">
        <v>46045</v>
      </c>
      <c r="B102" s="3" t="s">
        <v>6</v>
      </c>
      <c r="C102" s="3" t="s">
        <v>7</v>
      </c>
      <c r="D102" s="14">
        <v>150</v>
      </c>
      <c r="E102" s="3">
        <v>3</v>
      </c>
      <c r="F102" s="3" t="s">
        <v>14</v>
      </c>
      <c r="G102" s="17">
        <f t="shared" si="1"/>
        <v>450</v>
      </c>
    </row>
    <row r="103" spans="1:7" x14ac:dyDescent="0.3">
      <c r="A103" s="4">
        <v>46045</v>
      </c>
      <c r="B103" s="3" t="s">
        <v>13</v>
      </c>
      <c r="C103" s="3" t="s">
        <v>7</v>
      </c>
      <c r="D103" s="14">
        <v>280</v>
      </c>
      <c r="E103" s="3">
        <v>3</v>
      </c>
      <c r="F103" s="3" t="s">
        <v>14</v>
      </c>
      <c r="G103" s="17">
        <f t="shared" si="1"/>
        <v>840</v>
      </c>
    </row>
    <row r="104" spans="1:7" x14ac:dyDescent="0.3">
      <c r="A104" s="4">
        <v>46045</v>
      </c>
      <c r="B104" s="3" t="s">
        <v>9</v>
      </c>
      <c r="C104" s="3" t="s">
        <v>10</v>
      </c>
      <c r="D104" s="14">
        <v>120</v>
      </c>
      <c r="E104" s="3">
        <v>3</v>
      </c>
      <c r="F104" s="3" t="s">
        <v>14</v>
      </c>
      <c r="G104" s="17">
        <f t="shared" si="1"/>
        <v>360</v>
      </c>
    </row>
    <row r="105" spans="1:7" x14ac:dyDescent="0.3">
      <c r="A105" s="4">
        <v>46045</v>
      </c>
      <c r="B105" s="3" t="s">
        <v>21</v>
      </c>
      <c r="C105" s="3" t="s">
        <v>7</v>
      </c>
      <c r="D105" s="14">
        <v>320</v>
      </c>
      <c r="E105" s="3">
        <v>4</v>
      </c>
      <c r="F105" s="3" t="s">
        <v>14</v>
      </c>
      <c r="G105" s="17">
        <f t="shared" si="1"/>
        <v>1280</v>
      </c>
    </row>
    <row r="106" spans="1:7" x14ac:dyDescent="0.3">
      <c r="A106" s="4">
        <v>46046</v>
      </c>
      <c r="B106" s="3" t="s">
        <v>16</v>
      </c>
      <c r="C106" s="3" t="s">
        <v>10</v>
      </c>
      <c r="D106" s="14">
        <v>150</v>
      </c>
      <c r="E106" s="3">
        <v>2</v>
      </c>
      <c r="F106" s="3" t="s">
        <v>12</v>
      </c>
      <c r="G106" s="17">
        <f t="shared" si="1"/>
        <v>300</v>
      </c>
    </row>
    <row r="107" spans="1:7" x14ac:dyDescent="0.3">
      <c r="A107" s="4">
        <v>46046</v>
      </c>
      <c r="B107" s="3" t="s">
        <v>20</v>
      </c>
      <c r="C107" s="3" t="s">
        <v>10</v>
      </c>
      <c r="D107" s="14">
        <v>180</v>
      </c>
      <c r="E107" s="3">
        <v>3</v>
      </c>
      <c r="F107" s="3" t="s">
        <v>12</v>
      </c>
      <c r="G107" s="17">
        <f t="shared" si="1"/>
        <v>540</v>
      </c>
    </row>
    <row r="108" spans="1:7" x14ac:dyDescent="0.3">
      <c r="A108" s="4">
        <v>46046</v>
      </c>
      <c r="B108" s="3" t="s">
        <v>20</v>
      </c>
      <c r="C108" s="3" t="s">
        <v>10</v>
      </c>
      <c r="D108" s="14">
        <v>180</v>
      </c>
      <c r="E108" s="3">
        <v>5</v>
      </c>
      <c r="F108" s="3" t="s">
        <v>12</v>
      </c>
      <c r="G108" s="17">
        <f t="shared" si="1"/>
        <v>900</v>
      </c>
    </row>
    <row r="109" spans="1:7" x14ac:dyDescent="0.3">
      <c r="A109" s="4">
        <v>46046</v>
      </c>
      <c r="B109" s="3" t="s">
        <v>21</v>
      </c>
      <c r="C109" s="3" t="s">
        <v>7</v>
      </c>
      <c r="D109" s="14">
        <v>320</v>
      </c>
      <c r="E109" s="3">
        <v>1</v>
      </c>
      <c r="F109" s="3" t="s">
        <v>12</v>
      </c>
      <c r="G109" s="17">
        <f t="shared" si="1"/>
        <v>320</v>
      </c>
    </row>
    <row r="110" spans="1:7" x14ac:dyDescent="0.3">
      <c r="A110" s="4">
        <v>46046</v>
      </c>
      <c r="B110" s="3" t="s">
        <v>15</v>
      </c>
      <c r="C110" s="3" t="s">
        <v>10</v>
      </c>
      <c r="D110" s="14">
        <v>210</v>
      </c>
      <c r="E110" s="3">
        <v>4</v>
      </c>
      <c r="F110" s="3" t="s">
        <v>14</v>
      </c>
      <c r="G110" s="17">
        <f t="shared" si="1"/>
        <v>840</v>
      </c>
    </row>
    <row r="111" spans="1:7" x14ac:dyDescent="0.3">
      <c r="A111" s="4">
        <v>46046</v>
      </c>
      <c r="B111" s="3" t="s">
        <v>13</v>
      </c>
      <c r="C111" s="3" t="s">
        <v>7</v>
      </c>
      <c r="D111" s="14">
        <v>280</v>
      </c>
      <c r="E111" s="3">
        <v>5</v>
      </c>
      <c r="F111" s="3" t="s">
        <v>14</v>
      </c>
      <c r="G111" s="17">
        <f t="shared" si="1"/>
        <v>1400</v>
      </c>
    </row>
    <row r="112" spans="1:7" x14ac:dyDescent="0.3">
      <c r="A112" s="4">
        <v>46046</v>
      </c>
      <c r="B112" s="3" t="s">
        <v>15</v>
      </c>
      <c r="C112" s="3" t="s">
        <v>10</v>
      </c>
      <c r="D112" s="14">
        <v>210</v>
      </c>
      <c r="E112" s="3">
        <v>5</v>
      </c>
      <c r="F112" s="3" t="s">
        <v>8</v>
      </c>
      <c r="G112" s="17">
        <f t="shared" si="1"/>
        <v>1050</v>
      </c>
    </row>
    <row r="113" spans="1:7" x14ac:dyDescent="0.3">
      <c r="A113" s="4">
        <v>46046</v>
      </c>
      <c r="B113" s="3" t="s">
        <v>9</v>
      </c>
      <c r="C113" s="3" t="s">
        <v>10</v>
      </c>
      <c r="D113" s="14">
        <v>120</v>
      </c>
      <c r="E113" s="3">
        <v>4</v>
      </c>
      <c r="F113" s="3" t="s">
        <v>8</v>
      </c>
      <c r="G113" s="17">
        <f t="shared" si="1"/>
        <v>480</v>
      </c>
    </row>
    <row r="114" spans="1:7" x14ac:dyDescent="0.3">
      <c r="A114" s="4">
        <v>46047</v>
      </c>
      <c r="B114" s="3" t="s">
        <v>11</v>
      </c>
      <c r="C114" s="3" t="s">
        <v>7</v>
      </c>
      <c r="D114" s="14">
        <v>180</v>
      </c>
      <c r="E114" s="3">
        <v>5</v>
      </c>
      <c r="F114" s="3" t="s">
        <v>14</v>
      </c>
      <c r="G114" s="17">
        <f t="shared" si="1"/>
        <v>900</v>
      </c>
    </row>
    <row r="115" spans="1:7" x14ac:dyDescent="0.3">
      <c r="A115" s="4">
        <v>46047</v>
      </c>
      <c r="B115" s="3" t="s">
        <v>9</v>
      </c>
      <c r="C115" s="3" t="s">
        <v>10</v>
      </c>
      <c r="D115" s="14">
        <v>120</v>
      </c>
      <c r="E115" s="3">
        <v>3</v>
      </c>
      <c r="F115" s="3" t="s">
        <v>14</v>
      </c>
      <c r="G115" s="17">
        <f t="shared" si="1"/>
        <v>360</v>
      </c>
    </row>
    <row r="116" spans="1:7" x14ac:dyDescent="0.3">
      <c r="A116" s="4">
        <v>46047</v>
      </c>
      <c r="B116" s="3" t="s">
        <v>17</v>
      </c>
      <c r="C116" s="3" t="s">
        <v>10</v>
      </c>
      <c r="D116" s="14">
        <v>240</v>
      </c>
      <c r="E116" s="3">
        <v>3</v>
      </c>
      <c r="F116" s="3" t="s">
        <v>14</v>
      </c>
      <c r="G116" s="17">
        <f t="shared" si="1"/>
        <v>720</v>
      </c>
    </row>
    <row r="117" spans="1:7" x14ac:dyDescent="0.3">
      <c r="A117" s="4">
        <v>46047</v>
      </c>
      <c r="B117" s="3" t="s">
        <v>13</v>
      </c>
      <c r="C117" s="3" t="s">
        <v>7</v>
      </c>
      <c r="D117" s="14">
        <v>280</v>
      </c>
      <c r="E117" s="3">
        <v>4</v>
      </c>
      <c r="F117" s="3" t="s">
        <v>8</v>
      </c>
      <c r="G117" s="17">
        <f t="shared" si="1"/>
        <v>1120</v>
      </c>
    </row>
    <row r="118" spans="1:7" x14ac:dyDescent="0.3">
      <c r="A118" s="4">
        <v>46048</v>
      </c>
      <c r="B118" s="3" t="s">
        <v>22</v>
      </c>
      <c r="C118" s="3" t="s">
        <v>10</v>
      </c>
      <c r="D118" s="14">
        <v>220</v>
      </c>
      <c r="E118" s="3">
        <v>3</v>
      </c>
      <c r="F118" s="3" t="s">
        <v>12</v>
      </c>
      <c r="G118" s="17">
        <f t="shared" si="1"/>
        <v>660</v>
      </c>
    </row>
    <row r="119" spans="1:7" x14ac:dyDescent="0.3">
      <c r="A119" s="4">
        <v>46048</v>
      </c>
      <c r="B119" s="3" t="s">
        <v>21</v>
      </c>
      <c r="C119" s="3" t="s">
        <v>7</v>
      </c>
      <c r="D119" s="14">
        <v>320</v>
      </c>
      <c r="E119" s="3">
        <v>3</v>
      </c>
      <c r="F119" s="3" t="s">
        <v>12</v>
      </c>
      <c r="G119" s="17">
        <f t="shared" si="1"/>
        <v>960</v>
      </c>
    </row>
    <row r="120" spans="1:7" x14ac:dyDescent="0.3">
      <c r="A120" s="4">
        <v>46048</v>
      </c>
      <c r="B120" s="3" t="s">
        <v>6</v>
      </c>
      <c r="C120" s="3" t="s">
        <v>7</v>
      </c>
      <c r="D120" s="14">
        <v>150</v>
      </c>
      <c r="E120" s="3">
        <v>5</v>
      </c>
      <c r="F120" s="3" t="s">
        <v>14</v>
      </c>
      <c r="G120" s="17">
        <f t="shared" si="1"/>
        <v>750</v>
      </c>
    </row>
    <row r="121" spans="1:7" x14ac:dyDescent="0.3">
      <c r="A121" s="4">
        <v>46048</v>
      </c>
      <c r="B121" s="3" t="s">
        <v>6</v>
      </c>
      <c r="C121" s="3" t="s">
        <v>7</v>
      </c>
      <c r="D121" s="14">
        <v>150</v>
      </c>
      <c r="E121" s="3">
        <v>1</v>
      </c>
      <c r="F121" s="3" t="s">
        <v>14</v>
      </c>
      <c r="G121" s="17">
        <f t="shared" si="1"/>
        <v>150</v>
      </c>
    </row>
    <row r="122" spans="1:7" x14ac:dyDescent="0.3">
      <c r="A122" s="4">
        <v>46048</v>
      </c>
      <c r="B122" s="3" t="s">
        <v>9</v>
      </c>
      <c r="C122" s="3" t="s">
        <v>10</v>
      </c>
      <c r="D122" s="14">
        <v>120</v>
      </c>
      <c r="E122" s="3">
        <v>3</v>
      </c>
      <c r="F122" s="3" t="s">
        <v>14</v>
      </c>
      <c r="G122" s="17">
        <f t="shared" si="1"/>
        <v>360</v>
      </c>
    </row>
    <row r="123" spans="1:7" x14ac:dyDescent="0.3">
      <c r="A123" s="4">
        <v>46048</v>
      </c>
      <c r="B123" s="3" t="s">
        <v>9</v>
      </c>
      <c r="C123" s="3" t="s">
        <v>10</v>
      </c>
      <c r="D123" s="14">
        <v>120</v>
      </c>
      <c r="E123" s="3">
        <v>4</v>
      </c>
      <c r="F123" s="3" t="s">
        <v>8</v>
      </c>
      <c r="G123" s="17">
        <f t="shared" si="1"/>
        <v>480</v>
      </c>
    </row>
    <row r="124" spans="1:7" x14ac:dyDescent="0.3">
      <c r="A124" s="4">
        <v>46048</v>
      </c>
      <c r="B124" s="3" t="s">
        <v>22</v>
      </c>
      <c r="C124" s="3" t="s">
        <v>10</v>
      </c>
      <c r="D124" s="14">
        <v>220</v>
      </c>
      <c r="E124" s="3">
        <v>2</v>
      </c>
      <c r="F124" s="3" t="s">
        <v>8</v>
      </c>
      <c r="G124" s="17">
        <f t="shared" si="1"/>
        <v>440</v>
      </c>
    </row>
    <row r="125" spans="1:7" x14ac:dyDescent="0.3">
      <c r="A125" s="4">
        <v>46049</v>
      </c>
      <c r="B125" s="3" t="s">
        <v>19</v>
      </c>
      <c r="C125" s="3" t="s">
        <v>7</v>
      </c>
      <c r="D125" s="14">
        <v>90</v>
      </c>
      <c r="E125" s="3">
        <v>4</v>
      </c>
      <c r="F125" s="3" t="s">
        <v>12</v>
      </c>
      <c r="G125" s="17">
        <f t="shared" si="1"/>
        <v>360</v>
      </c>
    </row>
    <row r="126" spans="1:7" x14ac:dyDescent="0.3">
      <c r="A126" s="4">
        <v>46049</v>
      </c>
      <c r="B126" s="3" t="s">
        <v>20</v>
      </c>
      <c r="C126" s="3" t="s">
        <v>10</v>
      </c>
      <c r="D126" s="14">
        <v>180</v>
      </c>
      <c r="E126" s="3">
        <v>1</v>
      </c>
      <c r="F126" s="3" t="s">
        <v>14</v>
      </c>
      <c r="G126" s="17">
        <f t="shared" si="1"/>
        <v>180</v>
      </c>
    </row>
    <row r="127" spans="1:7" x14ac:dyDescent="0.3">
      <c r="A127" s="4">
        <v>46049</v>
      </c>
      <c r="B127" s="3" t="s">
        <v>17</v>
      </c>
      <c r="C127" s="3" t="s">
        <v>10</v>
      </c>
      <c r="D127" s="14">
        <v>240</v>
      </c>
      <c r="E127" s="3">
        <v>5</v>
      </c>
      <c r="F127" s="3" t="s">
        <v>14</v>
      </c>
      <c r="G127" s="17">
        <f t="shared" si="1"/>
        <v>1200</v>
      </c>
    </row>
    <row r="128" spans="1:7" x14ac:dyDescent="0.3">
      <c r="A128" s="4">
        <v>46049</v>
      </c>
      <c r="B128" s="3" t="s">
        <v>15</v>
      </c>
      <c r="C128" s="3" t="s">
        <v>10</v>
      </c>
      <c r="D128" s="14">
        <v>210</v>
      </c>
      <c r="E128" s="3">
        <v>1</v>
      </c>
      <c r="F128" s="3" t="s">
        <v>8</v>
      </c>
      <c r="G128" s="17">
        <f t="shared" si="1"/>
        <v>210</v>
      </c>
    </row>
    <row r="129" spans="1:7" x14ac:dyDescent="0.3">
      <c r="A129" s="4">
        <v>46050</v>
      </c>
      <c r="B129" s="3" t="s">
        <v>22</v>
      </c>
      <c r="C129" s="3" t="s">
        <v>10</v>
      </c>
      <c r="D129" s="14">
        <v>220</v>
      </c>
      <c r="E129" s="3">
        <v>3</v>
      </c>
      <c r="F129" s="3" t="s">
        <v>12</v>
      </c>
      <c r="G129" s="17">
        <f t="shared" si="1"/>
        <v>660</v>
      </c>
    </row>
    <row r="130" spans="1:7" x14ac:dyDescent="0.3">
      <c r="A130" s="4">
        <v>46050</v>
      </c>
      <c r="B130" s="3" t="s">
        <v>22</v>
      </c>
      <c r="C130" s="3" t="s">
        <v>10</v>
      </c>
      <c r="D130" s="14">
        <v>220</v>
      </c>
      <c r="E130" s="3">
        <v>2</v>
      </c>
      <c r="F130" s="3" t="s">
        <v>8</v>
      </c>
      <c r="G130" s="17">
        <f t="shared" ref="G130:G193" si="2">D130*E130</f>
        <v>440</v>
      </c>
    </row>
    <row r="131" spans="1:7" x14ac:dyDescent="0.3">
      <c r="A131" s="4">
        <v>46051</v>
      </c>
      <c r="B131" s="3" t="s">
        <v>11</v>
      </c>
      <c r="C131" s="3" t="s">
        <v>7</v>
      </c>
      <c r="D131" s="14">
        <v>180</v>
      </c>
      <c r="E131" s="3">
        <v>4</v>
      </c>
      <c r="F131" s="3" t="s">
        <v>12</v>
      </c>
      <c r="G131" s="17">
        <f t="shared" si="2"/>
        <v>720</v>
      </c>
    </row>
    <row r="132" spans="1:7" x14ac:dyDescent="0.3">
      <c r="A132" s="4">
        <v>46051</v>
      </c>
      <c r="B132" s="3" t="s">
        <v>11</v>
      </c>
      <c r="C132" s="3" t="s">
        <v>7</v>
      </c>
      <c r="D132" s="14">
        <v>180</v>
      </c>
      <c r="E132" s="3">
        <v>5</v>
      </c>
      <c r="F132" s="3" t="s">
        <v>12</v>
      </c>
      <c r="G132" s="17">
        <f t="shared" si="2"/>
        <v>900</v>
      </c>
    </row>
    <row r="133" spans="1:7" x14ac:dyDescent="0.3">
      <c r="A133" s="4">
        <v>46051</v>
      </c>
      <c r="B133" s="3" t="s">
        <v>21</v>
      </c>
      <c r="C133" s="3" t="s">
        <v>7</v>
      </c>
      <c r="D133" s="14">
        <v>320</v>
      </c>
      <c r="E133" s="3">
        <v>1</v>
      </c>
      <c r="F133" s="3" t="s">
        <v>12</v>
      </c>
      <c r="G133" s="17">
        <f t="shared" si="2"/>
        <v>320</v>
      </c>
    </row>
    <row r="134" spans="1:7" x14ac:dyDescent="0.3">
      <c r="A134" s="4">
        <v>46051</v>
      </c>
      <c r="B134" s="3" t="s">
        <v>16</v>
      </c>
      <c r="C134" s="3" t="s">
        <v>10</v>
      </c>
      <c r="D134" s="14">
        <v>150</v>
      </c>
      <c r="E134" s="3">
        <v>4</v>
      </c>
      <c r="F134" s="3" t="s">
        <v>8</v>
      </c>
      <c r="G134" s="17">
        <f t="shared" si="2"/>
        <v>600</v>
      </c>
    </row>
    <row r="135" spans="1:7" x14ac:dyDescent="0.3">
      <c r="A135" s="4">
        <v>46051</v>
      </c>
      <c r="B135" s="3" t="s">
        <v>19</v>
      </c>
      <c r="C135" s="3" t="s">
        <v>7</v>
      </c>
      <c r="D135" s="14">
        <v>90</v>
      </c>
      <c r="E135" s="3">
        <v>3</v>
      </c>
      <c r="F135" s="3" t="s">
        <v>8</v>
      </c>
      <c r="G135" s="17">
        <f t="shared" si="2"/>
        <v>270</v>
      </c>
    </row>
    <row r="136" spans="1:7" x14ac:dyDescent="0.3">
      <c r="A136" s="4">
        <v>46052</v>
      </c>
      <c r="B136" s="3" t="s">
        <v>16</v>
      </c>
      <c r="C136" s="3" t="s">
        <v>10</v>
      </c>
      <c r="D136" s="14">
        <v>150</v>
      </c>
      <c r="E136" s="3">
        <v>1</v>
      </c>
      <c r="F136" s="3" t="s">
        <v>12</v>
      </c>
      <c r="G136" s="17">
        <f t="shared" si="2"/>
        <v>150</v>
      </c>
    </row>
    <row r="137" spans="1:7" x14ac:dyDescent="0.3">
      <c r="A137" s="4">
        <v>46052</v>
      </c>
      <c r="B137" s="3" t="s">
        <v>16</v>
      </c>
      <c r="C137" s="3" t="s">
        <v>10</v>
      </c>
      <c r="D137" s="14">
        <v>150</v>
      </c>
      <c r="E137" s="3">
        <v>4</v>
      </c>
      <c r="F137" s="3" t="s">
        <v>12</v>
      </c>
      <c r="G137" s="17">
        <f t="shared" si="2"/>
        <v>600</v>
      </c>
    </row>
    <row r="138" spans="1:7" x14ac:dyDescent="0.3">
      <c r="A138" s="4">
        <v>46052</v>
      </c>
      <c r="B138" s="3" t="s">
        <v>16</v>
      </c>
      <c r="C138" s="3" t="s">
        <v>10</v>
      </c>
      <c r="D138" s="14">
        <v>150</v>
      </c>
      <c r="E138" s="3">
        <v>5</v>
      </c>
      <c r="F138" s="3" t="s">
        <v>14</v>
      </c>
      <c r="G138" s="17">
        <f t="shared" si="2"/>
        <v>750</v>
      </c>
    </row>
    <row r="139" spans="1:7" x14ac:dyDescent="0.3">
      <c r="A139" s="4">
        <v>46052</v>
      </c>
      <c r="B139" s="3" t="s">
        <v>22</v>
      </c>
      <c r="C139" s="3" t="s">
        <v>10</v>
      </c>
      <c r="D139" s="14">
        <v>220</v>
      </c>
      <c r="E139" s="3">
        <v>3</v>
      </c>
      <c r="F139" s="3" t="s">
        <v>14</v>
      </c>
      <c r="G139" s="17">
        <f t="shared" si="2"/>
        <v>660</v>
      </c>
    </row>
    <row r="140" spans="1:7" x14ac:dyDescent="0.3">
      <c r="A140" s="4">
        <v>46052</v>
      </c>
      <c r="B140" s="3" t="s">
        <v>22</v>
      </c>
      <c r="C140" s="3" t="s">
        <v>10</v>
      </c>
      <c r="D140" s="14">
        <v>220</v>
      </c>
      <c r="E140" s="3">
        <v>4</v>
      </c>
      <c r="F140" s="3" t="s">
        <v>8</v>
      </c>
      <c r="G140" s="17">
        <f t="shared" si="2"/>
        <v>880</v>
      </c>
    </row>
    <row r="141" spans="1:7" x14ac:dyDescent="0.3">
      <c r="A141" s="4">
        <v>46053</v>
      </c>
      <c r="B141" s="3" t="s">
        <v>9</v>
      </c>
      <c r="C141" s="3" t="s">
        <v>10</v>
      </c>
      <c r="D141" s="14">
        <v>120</v>
      </c>
      <c r="E141" s="3">
        <v>5</v>
      </c>
      <c r="F141" s="3" t="s">
        <v>12</v>
      </c>
      <c r="G141" s="17">
        <f t="shared" si="2"/>
        <v>600</v>
      </c>
    </row>
    <row r="142" spans="1:7" x14ac:dyDescent="0.3">
      <c r="A142" s="4">
        <v>46053</v>
      </c>
      <c r="B142" s="3" t="s">
        <v>13</v>
      </c>
      <c r="C142" s="3" t="s">
        <v>7</v>
      </c>
      <c r="D142" s="14">
        <v>280</v>
      </c>
      <c r="E142" s="3">
        <v>2</v>
      </c>
      <c r="F142" s="3" t="s">
        <v>14</v>
      </c>
      <c r="G142" s="17">
        <f t="shared" si="2"/>
        <v>560</v>
      </c>
    </row>
    <row r="143" spans="1:7" x14ac:dyDescent="0.3">
      <c r="A143" s="4">
        <v>46053</v>
      </c>
      <c r="B143" s="3" t="s">
        <v>11</v>
      </c>
      <c r="C143" s="3" t="s">
        <v>7</v>
      </c>
      <c r="D143" s="14">
        <v>180</v>
      </c>
      <c r="E143" s="3">
        <v>5</v>
      </c>
      <c r="F143" s="3" t="s">
        <v>8</v>
      </c>
      <c r="G143" s="17">
        <f t="shared" si="2"/>
        <v>900</v>
      </c>
    </row>
    <row r="144" spans="1:7" x14ac:dyDescent="0.3">
      <c r="A144" s="4">
        <v>46054</v>
      </c>
      <c r="B144" s="3" t="s">
        <v>13</v>
      </c>
      <c r="C144" s="3" t="s">
        <v>7</v>
      </c>
      <c r="D144" s="14">
        <v>280</v>
      </c>
      <c r="E144" s="3">
        <v>3</v>
      </c>
      <c r="F144" s="3" t="s">
        <v>12</v>
      </c>
      <c r="G144" s="17">
        <f t="shared" si="2"/>
        <v>840</v>
      </c>
    </row>
    <row r="145" spans="1:7" x14ac:dyDescent="0.3">
      <c r="A145" s="4">
        <v>46054</v>
      </c>
      <c r="B145" s="3" t="s">
        <v>22</v>
      </c>
      <c r="C145" s="3" t="s">
        <v>10</v>
      </c>
      <c r="D145" s="14">
        <v>220</v>
      </c>
      <c r="E145" s="3">
        <v>4</v>
      </c>
      <c r="F145" s="3" t="s">
        <v>12</v>
      </c>
      <c r="G145" s="17">
        <f t="shared" si="2"/>
        <v>880</v>
      </c>
    </row>
    <row r="146" spans="1:7" x14ac:dyDescent="0.3">
      <c r="A146" s="4">
        <v>46054</v>
      </c>
      <c r="B146" s="3" t="s">
        <v>21</v>
      </c>
      <c r="C146" s="3" t="s">
        <v>7</v>
      </c>
      <c r="D146" s="14">
        <v>320</v>
      </c>
      <c r="E146" s="3">
        <v>4</v>
      </c>
      <c r="F146" s="3" t="s">
        <v>12</v>
      </c>
      <c r="G146" s="17">
        <f t="shared" si="2"/>
        <v>1280</v>
      </c>
    </row>
    <row r="147" spans="1:7" x14ac:dyDescent="0.3">
      <c r="A147" s="4">
        <v>46054</v>
      </c>
      <c r="B147" s="3" t="s">
        <v>21</v>
      </c>
      <c r="C147" s="3" t="s">
        <v>7</v>
      </c>
      <c r="D147" s="14">
        <v>320</v>
      </c>
      <c r="E147" s="3">
        <v>1</v>
      </c>
      <c r="F147" s="3" t="s">
        <v>14</v>
      </c>
      <c r="G147" s="17">
        <f t="shared" si="2"/>
        <v>320</v>
      </c>
    </row>
    <row r="148" spans="1:7" x14ac:dyDescent="0.3">
      <c r="A148" s="4">
        <v>46055</v>
      </c>
      <c r="B148" s="3" t="s">
        <v>16</v>
      </c>
      <c r="C148" s="3" t="s">
        <v>10</v>
      </c>
      <c r="D148" s="14">
        <v>150</v>
      </c>
      <c r="E148" s="3">
        <v>1</v>
      </c>
      <c r="F148" s="3" t="s">
        <v>12</v>
      </c>
      <c r="G148" s="17">
        <f t="shared" si="2"/>
        <v>150</v>
      </c>
    </row>
    <row r="149" spans="1:7" x14ac:dyDescent="0.3">
      <c r="A149" s="4">
        <v>46055</v>
      </c>
      <c r="B149" s="3" t="s">
        <v>18</v>
      </c>
      <c r="C149" s="3" t="s">
        <v>7</v>
      </c>
      <c r="D149" s="14">
        <v>140</v>
      </c>
      <c r="E149" s="3">
        <v>3</v>
      </c>
      <c r="F149" s="3" t="s">
        <v>12</v>
      </c>
      <c r="G149" s="17">
        <f t="shared" si="2"/>
        <v>420</v>
      </c>
    </row>
    <row r="150" spans="1:7" x14ac:dyDescent="0.3">
      <c r="A150" s="4">
        <v>46055</v>
      </c>
      <c r="B150" s="3" t="s">
        <v>9</v>
      </c>
      <c r="C150" s="3" t="s">
        <v>10</v>
      </c>
      <c r="D150" s="14">
        <v>120</v>
      </c>
      <c r="E150" s="3">
        <v>4</v>
      </c>
      <c r="F150" s="3" t="s">
        <v>12</v>
      </c>
      <c r="G150" s="17">
        <f t="shared" si="2"/>
        <v>480</v>
      </c>
    </row>
    <row r="151" spans="1:7" x14ac:dyDescent="0.3">
      <c r="A151" s="4">
        <v>46055</v>
      </c>
      <c r="B151" s="3" t="s">
        <v>9</v>
      </c>
      <c r="C151" s="3" t="s">
        <v>10</v>
      </c>
      <c r="D151" s="14">
        <v>120</v>
      </c>
      <c r="E151" s="3">
        <v>2</v>
      </c>
      <c r="F151" s="3" t="s">
        <v>12</v>
      </c>
      <c r="G151" s="17">
        <f t="shared" si="2"/>
        <v>240</v>
      </c>
    </row>
    <row r="152" spans="1:7" x14ac:dyDescent="0.3">
      <c r="A152" s="4">
        <v>46055</v>
      </c>
      <c r="B152" s="3" t="s">
        <v>20</v>
      </c>
      <c r="C152" s="3" t="s">
        <v>10</v>
      </c>
      <c r="D152" s="14">
        <v>180</v>
      </c>
      <c r="E152" s="3">
        <v>1</v>
      </c>
      <c r="F152" s="3" t="s">
        <v>12</v>
      </c>
      <c r="G152" s="17">
        <f t="shared" si="2"/>
        <v>180</v>
      </c>
    </row>
    <row r="153" spans="1:7" x14ac:dyDescent="0.3">
      <c r="A153" s="4">
        <v>46055</v>
      </c>
      <c r="B153" s="3" t="s">
        <v>11</v>
      </c>
      <c r="C153" s="3" t="s">
        <v>7</v>
      </c>
      <c r="D153" s="14">
        <v>180</v>
      </c>
      <c r="E153" s="3">
        <v>4</v>
      </c>
      <c r="F153" s="3" t="s">
        <v>14</v>
      </c>
      <c r="G153" s="17">
        <f t="shared" si="2"/>
        <v>720</v>
      </c>
    </row>
    <row r="154" spans="1:7" x14ac:dyDescent="0.3">
      <c r="A154" s="4">
        <v>46055</v>
      </c>
      <c r="B154" s="3" t="s">
        <v>6</v>
      </c>
      <c r="C154" s="3" t="s">
        <v>7</v>
      </c>
      <c r="D154" s="14">
        <v>150</v>
      </c>
      <c r="E154" s="3">
        <v>4</v>
      </c>
      <c r="F154" s="3" t="s">
        <v>14</v>
      </c>
      <c r="G154" s="17">
        <f t="shared" si="2"/>
        <v>600</v>
      </c>
    </row>
    <row r="155" spans="1:7" x14ac:dyDescent="0.3">
      <c r="A155" s="4">
        <v>46055</v>
      </c>
      <c r="B155" s="3" t="s">
        <v>18</v>
      </c>
      <c r="C155" s="3" t="s">
        <v>7</v>
      </c>
      <c r="D155" s="14">
        <v>140</v>
      </c>
      <c r="E155" s="3">
        <v>1</v>
      </c>
      <c r="F155" s="3" t="s">
        <v>14</v>
      </c>
      <c r="G155" s="17">
        <f t="shared" si="2"/>
        <v>140</v>
      </c>
    </row>
    <row r="156" spans="1:7" x14ac:dyDescent="0.3">
      <c r="A156" s="4">
        <v>46055</v>
      </c>
      <c r="B156" s="3" t="s">
        <v>19</v>
      </c>
      <c r="C156" s="3" t="s">
        <v>7</v>
      </c>
      <c r="D156" s="14">
        <v>90</v>
      </c>
      <c r="E156" s="3">
        <v>3</v>
      </c>
      <c r="F156" s="3" t="s">
        <v>8</v>
      </c>
      <c r="G156" s="17">
        <f t="shared" si="2"/>
        <v>270</v>
      </c>
    </row>
    <row r="157" spans="1:7" x14ac:dyDescent="0.3">
      <c r="A157" s="4">
        <v>46055</v>
      </c>
      <c r="B157" s="3" t="s">
        <v>20</v>
      </c>
      <c r="C157" s="3" t="s">
        <v>10</v>
      </c>
      <c r="D157" s="14">
        <v>180</v>
      </c>
      <c r="E157" s="3">
        <v>3</v>
      </c>
      <c r="F157" s="3" t="s">
        <v>8</v>
      </c>
      <c r="G157" s="17">
        <f t="shared" si="2"/>
        <v>540</v>
      </c>
    </row>
    <row r="158" spans="1:7" x14ac:dyDescent="0.3">
      <c r="A158" s="4">
        <v>46056</v>
      </c>
      <c r="B158" s="3" t="s">
        <v>16</v>
      </c>
      <c r="C158" s="3" t="s">
        <v>10</v>
      </c>
      <c r="D158" s="14">
        <v>150</v>
      </c>
      <c r="E158" s="3">
        <v>5</v>
      </c>
      <c r="F158" s="3" t="s">
        <v>12</v>
      </c>
      <c r="G158" s="17">
        <f t="shared" si="2"/>
        <v>750</v>
      </c>
    </row>
    <row r="159" spans="1:7" x14ac:dyDescent="0.3">
      <c r="A159" s="4">
        <v>46056</v>
      </c>
      <c r="B159" s="3" t="s">
        <v>11</v>
      </c>
      <c r="C159" s="3" t="s">
        <v>7</v>
      </c>
      <c r="D159" s="14">
        <v>180</v>
      </c>
      <c r="E159" s="3">
        <v>1</v>
      </c>
      <c r="F159" s="3" t="s">
        <v>12</v>
      </c>
      <c r="G159" s="17">
        <f t="shared" si="2"/>
        <v>180</v>
      </c>
    </row>
    <row r="160" spans="1:7" x14ac:dyDescent="0.3">
      <c r="A160" s="4">
        <v>46056</v>
      </c>
      <c r="B160" s="3" t="s">
        <v>15</v>
      </c>
      <c r="C160" s="3" t="s">
        <v>10</v>
      </c>
      <c r="D160" s="14">
        <v>210</v>
      </c>
      <c r="E160" s="3">
        <v>1</v>
      </c>
      <c r="F160" s="3" t="s">
        <v>12</v>
      </c>
      <c r="G160" s="17">
        <f t="shared" si="2"/>
        <v>210</v>
      </c>
    </row>
    <row r="161" spans="1:7" x14ac:dyDescent="0.3">
      <c r="A161" s="4">
        <v>46056</v>
      </c>
      <c r="B161" s="3" t="s">
        <v>15</v>
      </c>
      <c r="C161" s="3" t="s">
        <v>10</v>
      </c>
      <c r="D161" s="14">
        <v>210</v>
      </c>
      <c r="E161" s="3">
        <v>1</v>
      </c>
      <c r="F161" s="3" t="s">
        <v>12</v>
      </c>
      <c r="G161" s="17">
        <f t="shared" si="2"/>
        <v>210</v>
      </c>
    </row>
    <row r="162" spans="1:7" x14ac:dyDescent="0.3">
      <c r="A162" s="4">
        <v>46056</v>
      </c>
      <c r="B162" s="3" t="s">
        <v>18</v>
      </c>
      <c r="C162" s="3" t="s">
        <v>7</v>
      </c>
      <c r="D162" s="14">
        <v>140</v>
      </c>
      <c r="E162" s="3">
        <v>2</v>
      </c>
      <c r="F162" s="3" t="s">
        <v>12</v>
      </c>
      <c r="G162" s="17">
        <f t="shared" si="2"/>
        <v>280</v>
      </c>
    </row>
    <row r="163" spans="1:7" x14ac:dyDescent="0.3">
      <c r="A163" s="4">
        <v>46056</v>
      </c>
      <c r="B163" s="3" t="s">
        <v>20</v>
      </c>
      <c r="C163" s="3" t="s">
        <v>10</v>
      </c>
      <c r="D163" s="14">
        <v>180</v>
      </c>
      <c r="E163" s="3">
        <v>1</v>
      </c>
      <c r="F163" s="3" t="s">
        <v>12</v>
      </c>
      <c r="G163" s="17">
        <f t="shared" si="2"/>
        <v>180</v>
      </c>
    </row>
    <row r="164" spans="1:7" x14ac:dyDescent="0.3">
      <c r="A164" s="4">
        <v>46057</v>
      </c>
      <c r="B164" s="3" t="s">
        <v>15</v>
      </c>
      <c r="C164" s="3" t="s">
        <v>10</v>
      </c>
      <c r="D164" s="14">
        <v>210</v>
      </c>
      <c r="E164" s="3">
        <v>1</v>
      </c>
      <c r="F164" s="3" t="s">
        <v>12</v>
      </c>
      <c r="G164" s="17">
        <f t="shared" si="2"/>
        <v>210</v>
      </c>
    </row>
    <row r="165" spans="1:7" x14ac:dyDescent="0.3">
      <c r="A165" s="4">
        <v>46057</v>
      </c>
      <c r="B165" s="3" t="s">
        <v>13</v>
      </c>
      <c r="C165" s="3" t="s">
        <v>7</v>
      </c>
      <c r="D165" s="14">
        <v>280</v>
      </c>
      <c r="E165" s="3">
        <v>1</v>
      </c>
      <c r="F165" s="3" t="s">
        <v>12</v>
      </c>
      <c r="G165" s="17">
        <f t="shared" si="2"/>
        <v>280</v>
      </c>
    </row>
    <row r="166" spans="1:7" x14ac:dyDescent="0.3">
      <c r="A166" s="4">
        <v>46057</v>
      </c>
      <c r="B166" s="3" t="s">
        <v>20</v>
      </c>
      <c r="C166" s="3" t="s">
        <v>10</v>
      </c>
      <c r="D166" s="14">
        <v>180</v>
      </c>
      <c r="E166" s="3">
        <v>2</v>
      </c>
      <c r="F166" s="3" t="s">
        <v>12</v>
      </c>
      <c r="G166" s="17">
        <f t="shared" si="2"/>
        <v>360</v>
      </c>
    </row>
    <row r="167" spans="1:7" x14ac:dyDescent="0.3">
      <c r="A167" s="4">
        <v>46057</v>
      </c>
      <c r="B167" s="3" t="s">
        <v>15</v>
      </c>
      <c r="C167" s="3" t="s">
        <v>10</v>
      </c>
      <c r="D167" s="14">
        <v>210</v>
      </c>
      <c r="E167" s="3">
        <v>2</v>
      </c>
      <c r="F167" s="3" t="s">
        <v>8</v>
      </c>
      <c r="G167" s="17">
        <f t="shared" si="2"/>
        <v>420</v>
      </c>
    </row>
    <row r="168" spans="1:7" x14ac:dyDescent="0.3">
      <c r="A168" s="4">
        <v>46057</v>
      </c>
      <c r="B168" s="3" t="s">
        <v>20</v>
      </c>
      <c r="C168" s="3" t="s">
        <v>10</v>
      </c>
      <c r="D168" s="14">
        <v>180</v>
      </c>
      <c r="E168" s="3">
        <v>1</v>
      </c>
      <c r="F168" s="3" t="s">
        <v>8</v>
      </c>
      <c r="G168" s="17">
        <f t="shared" si="2"/>
        <v>180</v>
      </c>
    </row>
    <row r="169" spans="1:7" x14ac:dyDescent="0.3">
      <c r="A169" s="4">
        <v>46057</v>
      </c>
      <c r="B169" s="3" t="s">
        <v>20</v>
      </c>
      <c r="C169" s="3" t="s">
        <v>10</v>
      </c>
      <c r="D169" s="14">
        <v>180</v>
      </c>
      <c r="E169" s="3">
        <v>5</v>
      </c>
      <c r="F169" s="3" t="s">
        <v>8</v>
      </c>
      <c r="G169" s="17">
        <f t="shared" si="2"/>
        <v>900</v>
      </c>
    </row>
    <row r="170" spans="1:7" x14ac:dyDescent="0.3">
      <c r="A170" s="4">
        <v>46057</v>
      </c>
      <c r="B170" s="3" t="s">
        <v>17</v>
      </c>
      <c r="C170" s="3" t="s">
        <v>10</v>
      </c>
      <c r="D170" s="14">
        <v>240</v>
      </c>
      <c r="E170" s="3">
        <v>1</v>
      </c>
      <c r="F170" s="3" t="s">
        <v>8</v>
      </c>
      <c r="G170" s="17">
        <f t="shared" si="2"/>
        <v>240</v>
      </c>
    </row>
    <row r="171" spans="1:7" x14ac:dyDescent="0.3">
      <c r="A171" s="4">
        <v>46058</v>
      </c>
      <c r="B171" s="3" t="s">
        <v>20</v>
      </c>
      <c r="C171" s="3" t="s">
        <v>10</v>
      </c>
      <c r="D171" s="14">
        <v>180</v>
      </c>
      <c r="E171" s="3">
        <v>1</v>
      </c>
      <c r="F171" s="3" t="s">
        <v>12</v>
      </c>
      <c r="G171" s="17">
        <f t="shared" si="2"/>
        <v>180</v>
      </c>
    </row>
    <row r="172" spans="1:7" x14ac:dyDescent="0.3">
      <c r="A172" s="4">
        <v>46058</v>
      </c>
      <c r="B172" s="3" t="s">
        <v>17</v>
      </c>
      <c r="C172" s="3" t="s">
        <v>10</v>
      </c>
      <c r="D172" s="14">
        <v>240</v>
      </c>
      <c r="E172" s="3">
        <v>3</v>
      </c>
      <c r="F172" s="3" t="s">
        <v>12</v>
      </c>
      <c r="G172" s="17">
        <f t="shared" si="2"/>
        <v>720</v>
      </c>
    </row>
    <row r="173" spans="1:7" x14ac:dyDescent="0.3">
      <c r="A173" s="4">
        <v>46058</v>
      </c>
      <c r="B173" s="3" t="s">
        <v>16</v>
      </c>
      <c r="C173" s="3" t="s">
        <v>10</v>
      </c>
      <c r="D173" s="14">
        <v>150</v>
      </c>
      <c r="E173" s="3">
        <v>3</v>
      </c>
      <c r="F173" s="3" t="s">
        <v>14</v>
      </c>
      <c r="G173" s="17">
        <f t="shared" si="2"/>
        <v>450</v>
      </c>
    </row>
    <row r="174" spans="1:7" x14ac:dyDescent="0.3">
      <c r="A174" s="4">
        <v>46058</v>
      </c>
      <c r="B174" s="3" t="s">
        <v>6</v>
      </c>
      <c r="C174" s="3" t="s">
        <v>7</v>
      </c>
      <c r="D174" s="14">
        <v>150</v>
      </c>
      <c r="E174" s="3">
        <v>5</v>
      </c>
      <c r="F174" s="3" t="s">
        <v>8</v>
      </c>
      <c r="G174" s="17">
        <f t="shared" si="2"/>
        <v>750</v>
      </c>
    </row>
    <row r="175" spans="1:7" x14ac:dyDescent="0.3">
      <c r="A175" s="4">
        <v>46058</v>
      </c>
      <c r="B175" s="3" t="s">
        <v>20</v>
      </c>
      <c r="C175" s="3" t="s">
        <v>10</v>
      </c>
      <c r="D175" s="14">
        <v>180</v>
      </c>
      <c r="E175" s="3">
        <v>2</v>
      </c>
      <c r="F175" s="3" t="s">
        <v>8</v>
      </c>
      <c r="G175" s="17">
        <f t="shared" si="2"/>
        <v>360</v>
      </c>
    </row>
    <row r="176" spans="1:7" x14ac:dyDescent="0.3">
      <c r="A176" s="4">
        <v>46058</v>
      </c>
      <c r="B176" s="3" t="s">
        <v>22</v>
      </c>
      <c r="C176" s="3" t="s">
        <v>10</v>
      </c>
      <c r="D176" s="14">
        <v>220</v>
      </c>
      <c r="E176" s="3">
        <v>1</v>
      </c>
      <c r="F176" s="3" t="s">
        <v>8</v>
      </c>
      <c r="G176" s="17">
        <f t="shared" si="2"/>
        <v>220</v>
      </c>
    </row>
    <row r="177" spans="1:7" x14ac:dyDescent="0.3">
      <c r="A177" s="4">
        <v>46059</v>
      </c>
      <c r="B177" s="3" t="s">
        <v>11</v>
      </c>
      <c r="C177" s="3" t="s">
        <v>7</v>
      </c>
      <c r="D177" s="14">
        <v>180</v>
      </c>
      <c r="E177" s="3">
        <v>5</v>
      </c>
      <c r="F177" s="3" t="s">
        <v>12</v>
      </c>
      <c r="G177" s="17">
        <f t="shared" si="2"/>
        <v>900</v>
      </c>
    </row>
    <row r="178" spans="1:7" x14ac:dyDescent="0.3">
      <c r="A178" s="4">
        <v>46059</v>
      </c>
      <c r="B178" s="3" t="s">
        <v>20</v>
      </c>
      <c r="C178" s="3" t="s">
        <v>10</v>
      </c>
      <c r="D178" s="14">
        <v>180</v>
      </c>
      <c r="E178" s="3">
        <v>5</v>
      </c>
      <c r="F178" s="3" t="s">
        <v>12</v>
      </c>
      <c r="G178" s="17">
        <f t="shared" si="2"/>
        <v>900</v>
      </c>
    </row>
    <row r="179" spans="1:7" x14ac:dyDescent="0.3">
      <c r="A179" s="4">
        <v>46059</v>
      </c>
      <c r="B179" s="3" t="s">
        <v>16</v>
      </c>
      <c r="C179" s="3" t="s">
        <v>10</v>
      </c>
      <c r="D179" s="14">
        <v>150</v>
      </c>
      <c r="E179" s="3">
        <v>3</v>
      </c>
      <c r="F179" s="3" t="s">
        <v>14</v>
      </c>
      <c r="G179" s="17">
        <f t="shared" si="2"/>
        <v>450</v>
      </c>
    </row>
    <row r="180" spans="1:7" x14ac:dyDescent="0.3">
      <c r="A180" s="4">
        <v>46059</v>
      </c>
      <c r="B180" s="3" t="s">
        <v>17</v>
      </c>
      <c r="C180" s="3" t="s">
        <v>10</v>
      </c>
      <c r="D180" s="14">
        <v>240</v>
      </c>
      <c r="E180" s="3">
        <v>2</v>
      </c>
      <c r="F180" s="3" t="s">
        <v>14</v>
      </c>
      <c r="G180" s="17">
        <f t="shared" si="2"/>
        <v>480</v>
      </c>
    </row>
    <row r="181" spans="1:7" x14ac:dyDescent="0.3">
      <c r="A181" s="4">
        <v>46059</v>
      </c>
      <c r="B181" s="3" t="s">
        <v>19</v>
      </c>
      <c r="C181" s="3" t="s">
        <v>7</v>
      </c>
      <c r="D181" s="14">
        <v>90</v>
      </c>
      <c r="E181" s="3">
        <v>1</v>
      </c>
      <c r="F181" s="3" t="s">
        <v>8</v>
      </c>
      <c r="G181" s="17">
        <f t="shared" si="2"/>
        <v>90</v>
      </c>
    </row>
    <row r="182" spans="1:7" x14ac:dyDescent="0.3">
      <c r="A182" s="4">
        <v>46060</v>
      </c>
      <c r="B182" s="3" t="s">
        <v>22</v>
      </c>
      <c r="C182" s="3" t="s">
        <v>10</v>
      </c>
      <c r="D182" s="14">
        <v>220</v>
      </c>
      <c r="E182" s="3">
        <v>2</v>
      </c>
      <c r="F182" s="3" t="s">
        <v>12</v>
      </c>
      <c r="G182" s="17">
        <f t="shared" si="2"/>
        <v>440</v>
      </c>
    </row>
    <row r="183" spans="1:7" x14ac:dyDescent="0.3">
      <c r="A183" s="4">
        <v>46060</v>
      </c>
      <c r="B183" s="3" t="s">
        <v>15</v>
      </c>
      <c r="C183" s="3" t="s">
        <v>10</v>
      </c>
      <c r="D183" s="14">
        <v>210</v>
      </c>
      <c r="E183" s="3">
        <v>3</v>
      </c>
      <c r="F183" s="3" t="s">
        <v>14</v>
      </c>
      <c r="G183" s="17">
        <f t="shared" si="2"/>
        <v>630</v>
      </c>
    </row>
    <row r="184" spans="1:7" x14ac:dyDescent="0.3">
      <c r="A184" s="4">
        <v>46060</v>
      </c>
      <c r="B184" s="3" t="s">
        <v>9</v>
      </c>
      <c r="C184" s="3" t="s">
        <v>10</v>
      </c>
      <c r="D184" s="14">
        <v>120</v>
      </c>
      <c r="E184" s="3">
        <v>3</v>
      </c>
      <c r="F184" s="3" t="s">
        <v>8</v>
      </c>
      <c r="G184" s="17">
        <f t="shared" si="2"/>
        <v>360</v>
      </c>
    </row>
    <row r="185" spans="1:7" x14ac:dyDescent="0.3">
      <c r="A185" s="4">
        <v>46061</v>
      </c>
      <c r="B185" s="3" t="s">
        <v>22</v>
      </c>
      <c r="C185" s="3" t="s">
        <v>10</v>
      </c>
      <c r="D185" s="14">
        <v>220</v>
      </c>
      <c r="E185" s="3">
        <v>3</v>
      </c>
      <c r="F185" s="3" t="s">
        <v>12</v>
      </c>
      <c r="G185" s="17">
        <f t="shared" si="2"/>
        <v>660</v>
      </c>
    </row>
    <row r="186" spans="1:7" x14ac:dyDescent="0.3">
      <c r="A186" s="4">
        <v>46061</v>
      </c>
      <c r="B186" s="3" t="s">
        <v>19</v>
      </c>
      <c r="C186" s="3" t="s">
        <v>7</v>
      </c>
      <c r="D186" s="14">
        <v>90</v>
      </c>
      <c r="E186" s="3">
        <v>1</v>
      </c>
      <c r="F186" s="3" t="s">
        <v>14</v>
      </c>
      <c r="G186" s="17">
        <f t="shared" si="2"/>
        <v>90</v>
      </c>
    </row>
    <row r="187" spans="1:7" x14ac:dyDescent="0.3">
      <c r="A187" s="4">
        <v>46061</v>
      </c>
      <c r="B187" s="3" t="s">
        <v>11</v>
      </c>
      <c r="C187" s="3" t="s">
        <v>7</v>
      </c>
      <c r="D187" s="14">
        <v>180</v>
      </c>
      <c r="E187" s="3">
        <v>3</v>
      </c>
      <c r="F187" s="3" t="s">
        <v>8</v>
      </c>
      <c r="G187" s="17">
        <f t="shared" si="2"/>
        <v>540</v>
      </c>
    </row>
    <row r="188" spans="1:7" x14ac:dyDescent="0.3">
      <c r="A188" s="4">
        <v>46061</v>
      </c>
      <c r="B188" s="3" t="s">
        <v>6</v>
      </c>
      <c r="C188" s="3" t="s">
        <v>7</v>
      </c>
      <c r="D188" s="14">
        <v>150</v>
      </c>
      <c r="E188" s="3">
        <v>2</v>
      </c>
      <c r="F188" s="3" t="s">
        <v>8</v>
      </c>
      <c r="G188" s="17">
        <f t="shared" si="2"/>
        <v>300</v>
      </c>
    </row>
    <row r="189" spans="1:7" x14ac:dyDescent="0.3">
      <c r="A189" s="4">
        <v>46062</v>
      </c>
      <c r="B189" s="3" t="s">
        <v>15</v>
      </c>
      <c r="C189" s="3" t="s">
        <v>10</v>
      </c>
      <c r="D189" s="14">
        <v>210</v>
      </c>
      <c r="E189" s="3">
        <v>2</v>
      </c>
      <c r="F189" s="3" t="s">
        <v>12</v>
      </c>
      <c r="G189" s="17">
        <f t="shared" si="2"/>
        <v>420</v>
      </c>
    </row>
    <row r="190" spans="1:7" x14ac:dyDescent="0.3">
      <c r="A190" s="4">
        <v>46062</v>
      </c>
      <c r="B190" s="3" t="s">
        <v>19</v>
      </c>
      <c r="C190" s="3" t="s">
        <v>7</v>
      </c>
      <c r="D190" s="14">
        <v>90</v>
      </c>
      <c r="E190" s="3">
        <v>3</v>
      </c>
      <c r="F190" s="3" t="s">
        <v>12</v>
      </c>
      <c r="G190" s="17">
        <f t="shared" si="2"/>
        <v>270</v>
      </c>
    </row>
    <row r="191" spans="1:7" x14ac:dyDescent="0.3">
      <c r="A191" s="4">
        <v>46062</v>
      </c>
      <c r="B191" s="3" t="s">
        <v>9</v>
      </c>
      <c r="C191" s="3" t="s">
        <v>10</v>
      </c>
      <c r="D191" s="14">
        <v>120</v>
      </c>
      <c r="E191" s="3">
        <v>5</v>
      </c>
      <c r="F191" s="3" t="s">
        <v>14</v>
      </c>
      <c r="G191" s="17">
        <f t="shared" si="2"/>
        <v>600</v>
      </c>
    </row>
    <row r="192" spans="1:7" x14ac:dyDescent="0.3">
      <c r="A192" s="4">
        <v>46062</v>
      </c>
      <c r="B192" s="3" t="s">
        <v>13</v>
      </c>
      <c r="C192" s="3" t="s">
        <v>7</v>
      </c>
      <c r="D192" s="14">
        <v>280</v>
      </c>
      <c r="E192" s="3">
        <v>2</v>
      </c>
      <c r="F192" s="3" t="s">
        <v>8</v>
      </c>
      <c r="G192" s="17">
        <f t="shared" si="2"/>
        <v>560</v>
      </c>
    </row>
    <row r="193" spans="1:7" x14ac:dyDescent="0.3">
      <c r="A193" s="4">
        <v>46062</v>
      </c>
      <c r="B193" s="3" t="s">
        <v>22</v>
      </c>
      <c r="C193" s="3" t="s">
        <v>10</v>
      </c>
      <c r="D193" s="14">
        <v>220</v>
      </c>
      <c r="E193" s="3">
        <v>3</v>
      </c>
      <c r="F193" s="3" t="s">
        <v>8</v>
      </c>
      <c r="G193" s="17">
        <f t="shared" si="2"/>
        <v>660</v>
      </c>
    </row>
    <row r="194" spans="1:7" x14ac:dyDescent="0.3">
      <c r="A194" s="4">
        <v>46063</v>
      </c>
      <c r="B194" s="3" t="s">
        <v>21</v>
      </c>
      <c r="C194" s="3" t="s">
        <v>7</v>
      </c>
      <c r="D194" s="14">
        <v>320</v>
      </c>
      <c r="E194" s="3">
        <v>5</v>
      </c>
      <c r="F194" s="3" t="s">
        <v>12</v>
      </c>
      <c r="G194" s="17">
        <f t="shared" ref="G194:G257" si="3">D194*E194</f>
        <v>1600</v>
      </c>
    </row>
    <row r="195" spans="1:7" x14ac:dyDescent="0.3">
      <c r="A195" s="4">
        <v>46064</v>
      </c>
      <c r="B195" s="3" t="s">
        <v>19</v>
      </c>
      <c r="C195" s="3" t="s">
        <v>7</v>
      </c>
      <c r="D195" s="14">
        <v>90</v>
      </c>
      <c r="E195" s="3">
        <v>5</v>
      </c>
      <c r="F195" s="3" t="s">
        <v>12</v>
      </c>
      <c r="G195" s="17">
        <f t="shared" si="3"/>
        <v>450</v>
      </c>
    </row>
    <row r="196" spans="1:7" x14ac:dyDescent="0.3">
      <c r="A196" s="4">
        <v>46064</v>
      </c>
      <c r="B196" s="3" t="s">
        <v>18</v>
      </c>
      <c r="C196" s="3" t="s">
        <v>7</v>
      </c>
      <c r="D196" s="14">
        <v>140</v>
      </c>
      <c r="E196" s="3">
        <v>4</v>
      </c>
      <c r="F196" s="3" t="s">
        <v>12</v>
      </c>
      <c r="G196" s="17">
        <f t="shared" si="3"/>
        <v>560</v>
      </c>
    </row>
    <row r="197" spans="1:7" x14ac:dyDescent="0.3">
      <c r="A197" s="4">
        <v>46064</v>
      </c>
      <c r="B197" s="3" t="s">
        <v>17</v>
      </c>
      <c r="C197" s="3" t="s">
        <v>10</v>
      </c>
      <c r="D197" s="14">
        <v>240</v>
      </c>
      <c r="E197" s="3">
        <v>3</v>
      </c>
      <c r="F197" s="3" t="s">
        <v>8</v>
      </c>
      <c r="G197" s="17">
        <f t="shared" si="3"/>
        <v>720</v>
      </c>
    </row>
    <row r="198" spans="1:7" x14ac:dyDescent="0.3">
      <c r="A198" s="4">
        <v>46065</v>
      </c>
      <c r="B198" s="3" t="s">
        <v>18</v>
      </c>
      <c r="C198" s="3" t="s">
        <v>7</v>
      </c>
      <c r="D198" s="14">
        <v>140</v>
      </c>
      <c r="E198" s="3">
        <v>5</v>
      </c>
      <c r="F198" s="3" t="s">
        <v>14</v>
      </c>
      <c r="G198" s="17">
        <f t="shared" si="3"/>
        <v>700</v>
      </c>
    </row>
    <row r="199" spans="1:7" x14ac:dyDescent="0.3">
      <c r="A199" s="4">
        <v>46066</v>
      </c>
      <c r="B199" s="3" t="s">
        <v>9</v>
      </c>
      <c r="C199" s="3" t="s">
        <v>10</v>
      </c>
      <c r="D199" s="14">
        <v>120</v>
      </c>
      <c r="E199" s="3">
        <v>2</v>
      </c>
      <c r="F199" s="3" t="s">
        <v>12</v>
      </c>
      <c r="G199" s="17">
        <f t="shared" si="3"/>
        <v>240</v>
      </c>
    </row>
    <row r="200" spans="1:7" x14ac:dyDescent="0.3">
      <c r="A200" s="4">
        <v>46066</v>
      </c>
      <c r="B200" s="3" t="s">
        <v>17</v>
      </c>
      <c r="C200" s="3" t="s">
        <v>10</v>
      </c>
      <c r="D200" s="14">
        <v>240</v>
      </c>
      <c r="E200" s="3">
        <v>3</v>
      </c>
      <c r="F200" s="3" t="s">
        <v>12</v>
      </c>
      <c r="G200" s="17">
        <f t="shared" si="3"/>
        <v>720</v>
      </c>
    </row>
    <row r="201" spans="1:7" x14ac:dyDescent="0.3">
      <c r="A201" s="4">
        <v>46066</v>
      </c>
      <c r="B201" s="3" t="s">
        <v>15</v>
      </c>
      <c r="C201" s="3" t="s">
        <v>10</v>
      </c>
      <c r="D201" s="14">
        <v>210</v>
      </c>
      <c r="E201" s="3">
        <v>2</v>
      </c>
      <c r="F201" s="3" t="s">
        <v>14</v>
      </c>
      <c r="G201" s="17">
        <f t="shared" si="3"/>
        <v>420</v>
      </c>
    </row>
    <row r="202" spans="1:7" x14ac:dyDescent="0.3">
      <c r="A202" s="4">
        <v>46066</v>
      </c>
      <c r="B202" s="3" t="s">
        <v>20</v>
      </c>
      <c r="C202" s="3" t="s">
        <v>10</v>
      </c>
      <c r="D202" s="14">
        <v>180</v>
      </c>
      <c r="E202" s="3">
        <v>4</v>
      </c>
      <c r="F202" s="3" t="s">
        <v>14</v>
      </c>
      <c r="G202" s="17">
        <f t="shared" si="3"/>
        <v>720</v>
      </c>
    </row>
    <row r="203" spans="1:7" x14ac:dyDescent="0.3">
      <c r="A203" s="4">
        <v>46066</v>
      </c>
      <c r="B203" s="3" t="s">
        <v>9</v>
      </c>
      <c r="C203" s="3" t="s">
        <v>10</v>
      </c>
      <c r="D203" s="14">
        <v>120</v>
      </c>
      <c r="E203" s="3">
        <v>5</v>
      </c>
      <c r="F203" s="3" t="s">
        <v>8</v>
      </c>
      <c r="G203" s="17">
        <f t="shared" si="3"/>
        <v>600</v>
      </c>
    </row>
    <row r="204" spans="1:7" x14ac:dyDescent="0.3">
      <c r="A204" s="4">
        <v>46067</v>
      </c>
      <c r="B204" s="3" t="s">
        <v>17</v>
      </c>
      <c r="C204" s="3" t="s">
        <v>10</v>
      </c>
      <c r="D204" s="14">
        <v>240</v>
      </c>
      <c r="E204" s="3">
        <v>2</v>
      </c>
      <c r="F204" s="3" t="s">
        <v>14</v>
      </c>
      <c r="G204" s="17">
        <f t="shared" si="3"/>
        <v>480</v>
      </c>
    </row>
    <row r="205" spans="1:7" x14ac:dyDescent="0.3">
      <c r="A205" s="4">
        <v>46067</v>
      </c>
      <c r="B205" s="3" t="s">
        <v>13</v>
      </c>
      <c r="C205" s="3" t="s">
        <v>7</v>
      </c>
      <c r="D205" s="14">
        <v>280</v>
      </c>
      <c r="E205" s="3">
        <v>3</v>
      </c>
      <c r="F205" s="3" t="s">
        <v>8</v>
      </c>
      <c r="G205" s="17">
        <f t="shared" si="3"/>
        <v>840</v>
      </c>
    </row>
    <row r="206" spans="1:7" x14ac:dyDescent="0.3">
      <c r="A206" s="4">
        <v>46068</v>
      </c>
      <c r="B206" s="3" t="s">
        <v>21</v>
      </c>
      <c r="C206" s="3" t="s">
        <v>7</v>
      </c>
      <c r="D206" s="14">
        <v>320</v>
      </c>
      <c r="E206" s="3">
        <v>1</v>
      </c>
      <c r="F206" s="3" t="s">
        <v>12</v>
      </c>
      <c r="G206" s="17">
        <f t="shared" si="3"/>
        <v>320</v>
      </c>
    </row>
    <row r="207" spans="1:7" x14ac:dyDescent="0.3">
      <c r="A207" s="4">
        <v>46068</v>
      </c>
      <c r="B207" s="3" t="s">
        <v>9</v>
      </c>
      <c r="C207" s="3" t="s">
        <v>10</v>
      </c>
      <c r="D207" s="14">
        <v>120</v>
      </c>
      <c r="E207" s="3">
        <v>5</v>
      </c>
      <c r="F207" s="3" t="s">
        <v>14</v>
      </c>
      <c r="G207" s="17">
        <f t="shared" si="3"/>
        <v>600</v>
      </c>
    </row>
    <row r="208" spans="1:7" x14ac:dyDescent="0.3">
      <c r="A208" s="4">
        <v>46068</v>
      </c>
      <c r="B208" s="3" t="s">
        <v>9</v>
      </c>
      <c r="C208" s="3" t="s">
        <v>10</v>
      </c>
      <c r="D208" s="14">
        <v>120</v>
      </c>
      <c r="E208" s="3">
        <v>3</v>
      </c>
      <c r="F208" s="3" t="s">
        <v>8</v>
      </c>
      <c r="G208" s="17">
        <f t="shared" si="3"/>
        <v>360</v>
      </c>
    </row>
    <row r="209" spans="1:7" x14ac:dyDescent="0.3">
      <c r="A209" s="4">
        <v>46068</v>
      </c>
      <c r="B209" s="3" t="s">
        <v>20</v>
      </c>
      <c r="C209" s="3" t="s">
        <v>10</v>
      </c>
      <c r="D209" s="14">
        <v>180</v>
      </c>
      <c r="E209" s="3">
        <v>4</v>
      </c>
      <c r="F209" s="3" t="s">
        <v>8</v>
      </c>
      <c r="G209" s="17">
        <f t="shared" si="3"/>
        <v>720</v>
      </c>
    </row>
    <row r="210" spans="1:7" x14ac:dyDescent="0.3">
      <c r="A210" s="4">
        <v>46068</v>
      </c>
      <c r="B210" s="3" t="s">
        <v>22</v>
      </c>
      <c r="C210" s="3" t="s">
        <v>10</v>
      </c>
      <c r="D210" s="14">
        <v>220</v>
      </c>
      <c r="E210" s="3">
        <v>4</v>
      </c>
      <c r="F210" s="3" t="s">
        <v>8</v>
      </c>
      <c r="G210" s="17">
        <f t="shared" si="3"/>
        <v>880</v>
      </c>
    </row>
    <row r="211" spans="1:7" x14ac:dyDescent="0.3">
      <c r="A211" s="4">
        <v>46068</v>
      </c>
      <c r="B211" s="3" t="s">
        <v>17</v>
      </c>
      <c r="C211" s="3" t="s">
        <v>10</v>
      </c>
      <c r="D211" s="14">
        <v>240</v>
      </c>
      <c r="E211" s="3">
        <v>5</v>
      </c>
      <c r="F211" s="3" t="s">
        <v>8</v>
      </c>
      <c r="G211" s="17">
        <f t="shared" si="3"/>
        <v>1200</v>
      </c>
    </row>
    <row r="212" spans="1:7" x14ac:dyDescent="0.3">
      <c r="A212" s="4">
        <v>46069</v>
      </c>
      <c r="B212" s="3" t="s">
        <v>13</v>
      </c>
      <c r="C212" s="3" t="s">
        <v>7</v>
      </c>
      <c r="D212" s="14">
        <v>280</v>
      </c>
      <c r="E212" s="3">
        <v>5</v>
      </c>
      <c r="F212" s="3" t="s">
        <v>12</v>
      </c>
      <c r="G212" s="17">
        <f t="shared" si="3"/>
        <v>1400</v>
      </c>
    </row>
    <row r="213" spans="1:7" x14ac:dyDescent="0.3">
      <c r="A213" s="4">
        <v>46069</v>
      </c>
      <c r="B213" s="3" t="s">
        <v>15</v>
      </c>
      <c r="C213" s="3" t="s">
        <v>10</v>
      </c>
      <c r="D213" s="14">
        <v>210</v>
      </c>
      <c r="E213" s="3">
        <v>1</v>
      </c>
      <c r="F213" s="3" t="s">
        <v>14</v>
      </c>
      <c r="G213" s="17">
        <f t="shared" si="3"/>
        <v>210</v>
      </c>
    </row>
    <row r="214" spans="1:7" x14ac:dyDescent="0.3">
      <c r="A214" s="4">
        <v>46069</v>
      </c>
      <c r="B214" s="3" t="s">
        <v>19</v>
      </c>
      <c r="C214" s="3" t="s">
        <v>7</v>
      </c>
      <c r="D214" s="14">
        <v>90</v>
      </c>
      <c r="E214" s="3">
        <v>3</v>
      </c>
      <c r="F214" s="3" t="s">
        <v>8</v>
      </c>
      <c r="G214" s="17">
        <f t="shared" si="3"/>
        <v>270</v>
      </c>
    </row>
    <row r="215" spans="1:7" x14ac:dyDescent="0.3">
      <c r="A215" s="4">
        <v>46069</v>
      </c>
      <c r="B215" s="3" t="s">
        <v>18</v>
      </c>
      <c r="C215" s="3" t="s">
        <v>7</v>
      </c>
      <c r="D215" s="14">
        <v>140</v>
      </c>
      <c r="E215" s="3">
        <v>3</v>
      </c>
      <c r="F215" s="3" t="s">
        <v>8</v>
      </c>
      <c r="G215" s="17">
        <f t="shared" si="3"/>
        <v>420</v>
      </c>
    </row>
    <row r="216" spans="1:7" x14ac:dyDescent="0.3">
      <c r="A216" s="4">
        <v>46069</v>
      </c>
      <c r="B216" s="3" t="s">
        <v>22</v>
      </c>
      <c r="C216" s="3" t="s">
        <v>10</v>
      </c>
      <c r="D216" s="14">
        <v>220</v>
      </c>
      <c r="E216" s="3">
        <v>1</v>
      </c>
      <c r="F216" s="3" t="s">
        <v>8</v>
      </c>
      <c r="G216" s="17">
        <f t="shared" si="3"/>
        <v>220</v>
      </c>
    </row>
    <row r="217" spans="1:7" x14ac:dyDescent="0.3">
      <c r="A217" s="4">
        <v>46070</v>
      </c>
      <c r="B217" s="3" t="s">
        <v>19</v>
      </c>
      <c r="C217" s="3" t="s">
        <v>7</v>
      </c>
      <c r="D217" s="14">
        <v>90</v>
      </c>
      <c r="E217" s="3">
        <v>5</v>
      </c>
      <c r="F217" s="3" t="s">
        <v>12</v>
      </c>
      <c r="G217" s="17">
        <f t="shared" si="3"/>
        <v>450</v>
      </c>
    </row>
    <row r="218" spans="1:7" x14ac:dyDescent="0.3">
      <c r="A218" s="4">
        <v>46070</v>
      </c>
      <c r="B218" s="3" t="s">
        <v>13</v>
      </c>
      <c r="C218" s="3" t="s">
        <v>7</v>
      </c>
      <c r="D218" s="14">
        <v>280</v>
      </c>
      <c r="E218" s="3">
        <v>5</v>
      </c>
      <c r="F218" s="3" t="s">
        <v>8</v>
      </c>
      <c r="G218" s="17">
        <f t="shared" si="3"/>
        <v>1400</v>
      </c>
    </row>
    <row r="219" spans="1:7" x14ac:dyDescent="0.3">
      <c r="A219" s="4">
        <v>46071</v>
      </c>
      <c r="B219" s="3" t="s">
        <v>16</v>
      </c>
      <c r="C219" s="3" t="s">
        <v>10</v>
      </c>
      <c r="D219" s="14">
        <v>150</v>
      </c>
      <c r="E219" s="3">
        <v>4</v>
      </c>
      <c r="F219" s="3" t="s">
        <v>12</v>
      </c>
      <c r="G219" s="17">
        <f t="shared" si="3"/>
        <v>600</v>
      </c>
    </row>
    <row r="220" spans="1:7" x14ac:dyDescent="0.3">
      <c r="A220" s="4">
        <v>46071</v>
      </c>
      <c r="B220" s="3" t="s">
        <v>17</v>
      </c>
      <c r="C220" s="3" t="s">
        <v>10</v>
      </c>
      <c r="D220" s="14">
        <v>240</v>
      </c>
      <c r="E220" s="3">
        <v>4</v>
      </c>
      <c r="F220" s="3" t="s">
        <v>12</v>
      </c>
      <c r="G220" s="17">
        <f t="shared" si="3"/>
        <v>960</v>
      </c>
    </row>
    <row r="221" spans="1:7" x14ac:dyDescent="0.3">
      <c r="A221" s="4">
        <v>46071</v>
      </c>
      <c r="B221" s="3" t="s">
        <v>9</v>
      </c>
      <c r="C221" s="3" t="s">
        <v>10</v>
      </c>
      <c r="D221" s="14">
        <v>120</v>
      </c>
      <c r="E221" s="3">
        <v>4</v>
      </c>
      <c r="F221" s="3" t="s">
        <v>8</v>
      </c>
      <c r="G221" s="17">
        <f t="shared" si="3"/>
        <v>480</v>
      </c>
    </row>
    <row r="222" spans="1:7" x14ac:dyDescent="0.3">
      <c r="A222" s="4">
        <v>46071</v>
      </c>
      <c r="B222" s="3" t="s">
        <v>9</v>
      </c>
      <c r="C222" s="3" t="s">
        <v>10</v>
      </c>
      <c r="D222" s="14">
        <v>120</v>
      </c>
      <c r="E222" s="3">
        <v>2</v>
      </c>
      <c r="F222" s="3" t="s">
        <v>8</v>
      </c>
      <c r="G222" s="17">
        <f t="shared" si="3"/>
        <v>240</v>
      </c>
    </row>
    <row r="223" spans="1:7" x14ac:dyDescent="0.3">
      <c r="A223" s="4">
        <v>46071</v>
      </c>
      <c r="B223" s="3" t="s">
        <v>17</v>
      </c>
      <c r="C223" s="3" t="s">
        <v>10</v>
      </c>
      <c r="D223" s="14">
        <v>240</v>
      </c>
      <c r="E223" s="3">
        <v>4</v>
      </c>
      <c r="F223" s="3" t="s">
        <v>8</v>
      </c>
      <c r="G223" s="17">
        <f t="shared" si="3"/>
        <v>960</v>
      </c>
    </row>
    <row r="224" spans="1:7" x14ac:dyDescent="0.3">
      <c r="A224" s="4">
        <v>46071</v>
      </c>
      <c r="B224" s="3" t="s">
        <v>17</v>
      </c>
      <c r="C224" s="3" t="s">
        <v>10</v>
      </c>
      <c r="D224" s="14">
        <v>240</v>
      </c>
      <c r="E224" s="3">
        <v>2</v>
      </c>
      <c r="F224" s="3" t="s">
        <v>8</v>
      </c>
      <c r="G224" s="17">
        <f t="shared" si="3"/>
        <v>480</v>
      </c>
    </row>
    <row r="225" spans="1:7" x14ac:dyDescent="0.3">
      <c r="A225" s="4">
        <v>46071</v>
      </c>
      <c r="B225" s="3" t="s">
        <v>21</v>
      </c>
      <c r="C225" s="3" t="s">
        <v>7</v>
      </c>
      <c r="D225" s="14">
        <v>320</v>
      </c>
      <c r="E225" s="3">
        <v>5</v>
      </c>
      <c r="F225" s="3" t="s">
        <v>8</v>
      </c>
      <c r="G225" s="17">
        <f t="shared" si="3"/>
        <v>1600</v>
      </c>
    </row>
    <row r="226" spans="1:7" x14ac:dyDescent="0.3">
      <c r="A226" s="4">
        <v>46072</v>
      </c>
      <c r="B226" s="3" t="s">
        <v>11</v>
      </c>
      <c r="C226" s="3" t="s">
        <v>7</v>
      </c>
      <c r="D226" s="14">
        <v>180</v>
      </c>
      <c r="E226" s="3">
        <v>2</v>
      </c>
      <c r="F226" s="3" t="s">
        <v>12</v>
      </c>
      <c r="G226" s="17">
        <f t="shared" si="3"/>
        <v>360</v>
      </c>
    </row>
    <row r="227" spans="1:7" x14ac:dyDescent="0.3">
      <c r="A227" s="4">
        <v>46072</v>
      </c>
      <c r="B227" s="3" t="s">
        <v>6</v>
      </c>
      <c r="C227" s="3" t="s">
        <v>7</v>
      </c>
      <c r="D227" s="14">
        <v>150</v>
      </c>
      <c r="E227" s="3">
        <v>3</v>
      </c>
      <c r="F227" s="3" t="s">
        <v>14</v>
      </c>
      <c r="G227" s="17">
        <f t="shared" si="3"/>
        <v>450</v>
      </c>
    </row>
    <row r="228" spans="1:7" x14ac:dyDescent="0.3">
      <c r="A228" s="4">
        <v>46072</v>
      </c>
      <c r="B228" s="3" t="s">
        <v>15</v>
      </c>
      <c r="C228" s="3" t="s">
        <v>10</v>
      </c>
      <c r="D228" s="14">
        <v>210</v>
      </c>
      <c r="E228" s="3">
        <v>4</v>
      </c>
      <c r="F228" s="3" t="s">
        <v>14</v>
      </c>
      <c r="G228" s="17">
        <f t="shared" si="3"/>
        <v>840</v>
      </c>
    </row>
    <row r="229" spans="1:7" x14ac:dyDescent="0.3">
      <c r="A229" s="4">
        <v>46073</v>
      </c>
      <c r="B229" s="3" t="s">
        <v>13</v>
      </c>
      <c r="C229" s="3" t="s">
        <v>7</v>
      </c>
      <c r="D229" s="14">
        <v>280</v>
      </c>
      <c r="E229" s="3">
        <v>1</v>
      </c>
      <c r="F229" s="3" t="s">
        <v>12</v>
      </c>
      <c r="G229" s="17">
        <f t="shared" si="3"/>
        <v>280</v>
      </c>
    </row>
    <row r="230" spans="1:7" x14ac:dyDescent="0.3">
      <c r="A230" s="4">
        <v>46073</v>
      </c>
      <c r="B230" s="3" t="s">
        <v>20</v>
      </c>
      <c r="C230" s="3" t="s">
        <v>10</v>
      </c>
      <c r="D230" s="14">
        <v>180</v>
      </c>
      <c r="E230" s="3">
        <v>1</v>
      </c>
      <c r="F230" s="3" t="s">
        <v>12</v>
      </c>
      <c r="G230" s="17">
        <f t="shared" si="3"/>
        <v>180</v>
      </c>
    </row>
    <row r="231" spans="1:7" x14ac:dyDescent="0.3">
      <c r="A231" s="4">
        <v>46073</v>
      </c>
      <c r="B231" s="3" t="s">
        <v>17</v>
      </c>
      <c r="C231" s="3" t="s">
        <v>10</v>
      </c>
      <c r="D231" s="14">
        <v>240</v>
      </c>
      <c r="E231" s="3">
        <v>1</v>
      </c>
      <c r="F231" s="3" t="s">
        <v>12</v>
      </c>
      <c r="G231" s="17">
        <f t="shared" si="3"/>
        <v>240</v>
      </c>
    </row>
    <row r="232" spans="1:7" x14ac:dyDescent="0.3">
      <c r="A232" s="4">
        <v>46073</v>
      </c>
      <c r="B232" s="3" t="s">
        <v>18</v>
      </c>
      <c r="C232" s="3" t="s">
        <v>7</v>
      </c>
      <c r="D232" s="14">
        <v>140</v>
      </c>
      <c r="E232" s="3">
        <v>2</v>
      </c>
      <c r="F232" s="3" t="s">
        <v>14</v>
      </c>
      <c r="G232" s="17">
        <f t="shared" si="3"/>
        <v>280</v>
      </c>
    </row>
    <row r="233" spans="1:7" x14ac:dyDescent="0.3">
      <c r="A233" s="4">
        <v>46074</v>
      </c>
      <c r="B233" s="3" t="s">
        <v>19</v>
      </c>
      <c r="C233" s="3" t="s">
        <v>7</v>
      </c>
      <c r="D233" s="14">
        <v>90</v>
      </c>
      <c r="E233" s="3">
        <v>5</v>
      </c>
      <c r="F233" s="3" t="s">
        <v>12</v>
      </c>
      <c r="G233" s="17">
        <f t="shared" si="3"/>
        <v>450</v>
      </c>
    </row>
    <row r="234" spans="1:7" x14ac:dyDescent="0.3">
      <c r="A234" s="4">
        <v>46074</v>
      </c>
      <c r="B234" s="3" t="s">
        <v>22</v>
      </c>
      <c r="C234" s="3" t="s">
        <v>10</v>
      </c>
      <c r="D234" s="14">
        <v>220</v>
      </c>
      <c r="E234" s="3">
        <v>4</v>
      </c>
      <c r="F234" s="3" t="s">
        <v>8</v>
      </c>
      <c r="G234" s="17">
        <f t="shared" si="3"/>
        <v>880</v>
      </c>
    </row>
    <row r="235" spans="1:7" x14ac:dyDescent="0.3">
      <c r="A235" s="4">
        <v>46075</v>
      </c>
      <c r="B235" s="3" t="s">
        <v>6</v>
      </c>
      <c r="C235" s="3" t="s">
        <v>7</v>
      </c>
      <c r="D235" s="14">
        <v>150</v>
      </c>
      <c r="E235" s="3">
        <v>2</v>
      </c>
      <c r="F235" s="3" t="s">
        <v>14</v>
      </c>
      <c r="G235" s="17">
        <f t="shared" si="3"/>
        <v>300</v>
      </c>
    </row>
    <row r="236" spans="1:7" x14ac:dyDescent="0.3">
      <c r="A236" s="4">
        <v>46075</v>
      </c>
      <c r="B236" s="3" t="s">
        <v>13</v>
      </c>
      <c r="C236" s="3" t="s">
        <v>7</v>
      </c>
      <c r="D236" s="14">
        <v>280</v>
      </c>
      <c r="E236" s="3">
        <v>1</v>
      </c>
      <c r="F236" s="3" t="s">
        <v>14</v>
      </c>
      <c r="G236" s="17">
        <f t="shared" si="3"/>
        <v>280</v>
      </c>
    </row>
    <row r="237" spans="1:7" x14ac:dyDescent="0.3">
      <c r="A237" s="4">
        <v>46075</v>
      </c>
      <c r="B237" s="3" t="s">
        <v>20</v>
      </c>
      <c r="C237" s="3" t="s">
        <v>10</v>
      </c>
      <c r="D237" s="14">
        <v>180</v>
      </c>
      <c r="E237" s="3">
        <v>5</v>
      </c>
      <c r="F237" s="3" t="s">
        <v>14</v>
      </c>
      <c r="G237" s="17">
        <f t="shared" si="3"/>
        <v>900</v>
      </c>
    </row>
    <row r="238" spans="1:7" x14ac:dyDescent="0.3">
      <c r="A238" s="4">
        <v>46075</v>
      </c>
      <c r="B238" s="3" t="s">
        <v>11</v>
      </c>
      <c r="C238" s="3" t="s">
        <v>7</v>
      </c>
      <c r="D238" s="14">
        <v>180</v>
      </c>
      <c r="E238" s="3">
        <v>4</v>
      </c>
      <c r="F238" s="3" t="s">
        <v>8</v>
      </c>
      <c r="G238" s="17">
        <f t="shared" si="3"/>
        <v>720</v>
      </c>
    </row>
    <row r="239" spans="1:7" x14ac:dyDescent="0.3">
      <c r="A239" s="4">
        <v>46075</v>
      </c>
      <c r="B239" s="3" t="s">
        <v>11</v>
      </c>
      <c r="C239" s="3" t="s">
        <v>7</v>
      </c>
      <c r="D239" s="14">
        <v>180</v>
      </c>
      <c r="E239" s="3">
        <v>3</v>
      </c>
      <c r="F239" s="3" t="s">
        <v>8</v>
      </c>
      <c r="G239" s="17">
        <f t="shared" si="3"/>
        <v>540</v>
      </c>
    </row>
    <row r="240" spans="1:7" x14ac:dyDescent="0.3">
      <c r="A240" s="4">
        <v>46075</v>
      </c>
      <c r="B240" s="3" t="s">
        <v>11</v>
      </c>
      <c r="C240" s="3" t="s">
        <v>7</v>
      </c>
      <c r="D240" s="14">
        <v>180</v>
      </c>
      <c r="E240" s="3">
        <v>2</v>
      </c>
      <c r="F240" s="3" t="s">
        <v>8</v>
      </c>
      <c r="G240" s="17">
        <f t="shared" si="3"/>
        <v>360</v>
      </c>
    </row>
    <row r="241" spans="1:7" x14ac:dyDescent="0.3">
      <c r="A241" s="4">
        <v>46075</v>
      </c>
      <c r="B241" s="3" t="s">
        <v>15</v>
      </c>
      <c r="C241" s="3" t="s">
        <v>10</v>
      </c>
      <c r="D241" s="14">
        <v>210</v>
      </c>
      <c r="E241" s="3">
        <v>4</v>
      </c>
      <c r="F241" s="3" t="s">
        <v>8</v>
      </c>
      <c r="G241" s="17">
        <f t="shared" si="3"/>
        <v>840</v>
      </c>
    </row>
    <row r="242" spans="1:7" x14ac:dyDescent="0.3">
      <c r="A242" s="4">
        <v>46075</v>
      </c>
      <c r="B242" s="3" t="s">
        <v>13</v>
      </c>
      <c r="C242" s="3" t="s">
        <v>7</v>
      </c>
      <c r="D242" s="14">
        <v>280</v>
      </c>
      <c r="E242" s="3">
        <v>2</v>
      </c>
      <c r="F242" s="3" t="s">
        <v>8</v>
      </c>
      <c r="G242" s="17">
        <f t="shared" si="3"/>
        <v>560</v>
      </c>
    </row>
    <row r="243" spans="1:7" x14ac:dyDescent="0.3">
      <c r="A243" s="4">
        <v>46076</v>
      </c>
      <c r="B243" s="3" t="s">
        <v>13</v>
      </c>
      <c r="C243" s="3" t="s">
        <v>7</v>
      </c>
      <c r="D243" s="14">
        <v>280</v>
      </c>
      <c r="E243" s="3">
        <v>3</v>
      </c>
      <c r="F243" s="3" t="s">
        <v>12</v>
      </c>
      <c r="G243" s="17">
        <f t="shared" si="3"/>
        <v>840</v>
      </c>
    </row>
    <row r="244" spans="1:7" x14ac:dyDescent="0.3">
      <c r="A244" s="4">
        <v>46076</v>
      </c>
      <c r="B244" s="3" t="s">
        <v>20</v>
      </c>
      <c r="C244" s="3" t="s">
        <v>10</v>
      </c>
      <c r="D244" s="14">
        <v>180</v>
      </c>
      <c r="E244" s="3">
        <v>3</v>
      </c>
      <c r="F244" s="3" t="s">
        <v>12</v>
      </c>
      <c r="G244" s="17">
        <f t="shared" si="3"/>
        <v>540</v>
      </c>
    </row>
    <row r="245" spans="1:7" x14ac:dyDescent="0.3">
      <c r="A245" s="4">
        <v>46076</v>
      </c>
      <c r="B245" s="3" t="s">
        <v>21</v>
      </c>
      <c r="C245" s="3" t="s">
        <v>7</v>
      </c>
      <c r="D245" s="14">
        <v>320</v>
      </c>
      <c r="E245" s="3">
        <v>4</v>
      </c>
      <c r="F245" s="3" t="s">
        <v>12</v>
      </c>
      <c r="G245" s="17">
        <f t="shared" si="3"/>
        <v>1280</v>
      </c>
    </row>
    <row r="246" spans="1:7" x14ac:dyDescent="0.3">
      <c r="A246" s="4">
        <v>46076</v>
      </c>
      <c r="B246" s="3" t="s">
        <v>6</v>
      </c>
      <c r="C246" s="3" t="s">
        <v>7</v>
      </c>
      <c r="D246" s="14">
        <v>150</v>
      </c>
      <c r="E246" s="3">
        <v>4</v>
      </c>
      <c r="F246" s="3" t="s">
        <v>14</v>
      </c>
      <c r="G246" s="17">
        <f t="shared" si="3"/>
        <v>600</v>
      </c>
    </row>
    <row r="247" spans="1:7" x14ac:dyDescent="0.3">
      <c r="A247" s="4">
        <v>46076</v>
      </c>
      <c r="B247" s="3" t="s">
        <v>13</v>
      </c>
      <c r="C247" s="3" t="s">
        <v>7</v>
      </c>
      <c r="D247" s="14">
        <v>280</v>
      </c>
      <c r="E247" s="3">
        <v>3</v>
      </c>
      <c r="F247" s="3" t="s">
        <v>14</v>
      </c>
      <c r="G247" s="17">
        <f t="shared" si="3"/>
        <v>840</v>
      </c>
    </row>
    <row r="248" spans="1:7" x14ac:dyDescent="0.3">
      <c r="A248" s="4">
        <v>46077</v>
      </c>
      <c r="B248" s="3" t="s">
        <v>13</v>
      </c>
      <c r="C248" s="3" t="s">
        <v>7</v>
      </c>
      <c r="D248" s="14">
        <v>280</v>
      </c>
      <c r="E248" s="3">
        <v>3</v>
      </c>
      <c r="F248" s="3" t="s">
        <v>12</v>
      </c>
      <c r="G248" s="17">
        <f t="shared" si="3"/>
        <v>840</v>
      </c>
    </row>
    <row r="249" spans="1:7" x14ac:dyDescent="0.3">
      <c r="A249" s="4">
        <v>46077</v>
      </c>
      <c r="B249" s="3" t="s">
        <v>6</v>
      </c>
      <c r="C249" s="3" t="s">
        <v>7</v>
      </c>
      <c r="D249" s="14">
        <v>150</v>
      </c>
      <c r="E249" s="3">
        <v>5</v>
      </c>
      <c r="F249" s="3" t="s">
        <v>14</v>
      </c>
      <c r="G249" s="17">
        <f t="shared" si="3"/>
        <v>750</v>
      </c>
    </row>
    <row r="250" spans="1:7" x14ac:dyDescent="0.3">
      <c r="A250" s="4">
        <v>46077</v>
      </c>
      <c r="B250" s="3" t="s">
        <v>13</v>
      </c>
      <c r="C250" s="3" t="s">
        <v>7</v>
      </c>
      <c r="D250" s="14">
        <v>280</v>
      </c>
      <c r="E250" s="3">
        <v>1</v>
      </c>
      <c r="F250" s="3" t="s">
        <v>14</v>
      </c>
      <c r="G250" s="17">
        <f t="shared" si="3"/>
        <v>280</v>
      </c>
    </row>
    <row r="251" spans="1:7" x14ac:dyDescent="0.3">
      <c r="A251" s="4">
        <v>46077</v>
      </c>
      <c r="B251" s="3" t="s">
        <v>22</v>
      </c>
      <c r="C251" s="3" t="s">
        <v>10</v>
      </c>
      <c r="D251" s="14">
        <v>220</v>
      </c>
      <c r="E251" s="3">
        <v>2</v>
      </c>
      <c r="F251" s="3" t="s">
        <v>14</v>
      </c>
      <c r="G251" s="17">
        <f t="shared" si="3"/>
        <v>440</v>
      </c>
    </row>
    <row r="252" spans="1:7" x14ac:dyDescent="0.3">
      <c r="A252" s="4">
        <v>46077</v>
      </c>
      <c r="B252" s="3" t="s">
        <v>15</v>
      </c>
      <c r="C252" s="3" t="s">
        <v>10</v>
      </c>
      <c r="D252" s="14">
        <v>210</v>
      </c>
      <c r="E252" s="3">
        <v>2</v>
      </c>
      <c r="F252" s="3" t="s">
        <v>8</v>
      </c>
      <c r="G252" s="17">
        <f t="shared" si="3"/>
        <v>420</v>
      </c>
    </row>
    <row r="253" spans="1:7" x14ac:dyDescent="0.3">
      <c r="A253" s="4">
        <v>46078</v>
      </c>
      <c r="B253" s="3" t="s">
        <v>16</v>
      </c>
      <c r="C253" s="3" t="s">
        <v>10</v>
      </c>
      <c r="D253" s="14">
        <v>150</v>
      </c>
      <c r="E253" s="3">
        <v>3</v>
      </c>
      <c r="F253" s="3" t="s">
        <v>12</v>
      </c>
      <c r="G253" s="17">
        <f t="shared" si="3"/>
        <v>450</v>
      </c>
    </row>
    <row r="254" spans="1:7" x14ac:dyDescent="0.3">
      <c r="A254" s="4">
        <v>46078</v>
      </c>
      <c r="B254" s="3" t="s">
        <v>16</v>
      </c>
      <c r="C254" s="3" t="s">
        <v>10</v>
      </c>
      <c r="D254" s="14">
        <v>150</v>
      </c>
      <c r="E254" s="3">
        <v>5</v>
      </c>
      <c r="F254" s="3" t="s">
        <v>8</v>
      </c>
      <c r="G254" s="17">
        <f t="shared" si="3"/>
        <v>750</v>
      </c>
    </row>
    <row r="255" spans="1:7" x14ac:dyDescent="0.3">
      <c r="A255" s="4">
        <v>46078</v>
      </c>
      <c r="B255" s="3" t="s">
        <v>18</v>
      </c>
      <c r="C255" s="3" t="s">
        <v>7</v>
      </c>
      <c r="D255" s="14">
        <v>140</v>
      </c>
      <c r="E255" s="3">
        <v>5</v>
      </c>
      <c r="F255" s="3" t="s">
        <v>8</v>
      </c>
      <c r="G255" s="17">
        <f t="shared" si="3"/>
        <v>700</v>
      </c>
    </row>
    <row r="256" spans="1:7" x14ac:dyDescent="0.3">
      <c r="A256" s="4">
        <v>46078</v>
      </c>
      <c r="B256" s="3" t="s">
        <v>18</v>
      </c>
      <c r="C256" s="3" t="s">
        <v>7</v>
      </c>
      <c r="D256" s="14">
        <v>140</v>
      </c>
      <c r="E256" s="3">
        <v>1</v>
      </c>
      <c r="F256" s="3" t="s">
        <v>8</v>
      </c>
      <c r="G256" s="17">
        <f t="shared" si="3"/>
        <v>140</v>
      </c>
    </row>
    <row r="257" spans="1:7" x14ac:dyDescent="0.3">
      <c r="A257" s="4">
        <v>46078</v>
      </c>
      <c r="B257" s="3" t="s">
        <v>21</v>
      </c>
      <c r="C257" s="3" t="s">
        <v>7</v>
      </c>
      <c r="D257" s="14">
        <v>320</v>
      </c>
      <c r="E257" s="3">
        <v>1</v>
      </c>
      <c r="F257" s="3" t="s">
        <v>8</v>
      </c>
      <c r="G257" s="17">
        <f t="shared" si="3"/>
        <v>320</v>
      </c>
    </row>
    <row r="258" spans="1:7" x14ac:dyDescent="0.3">
      <c r="A258" s="4">
        <v>46079</v>
      </c>
      <c r="B258" s="3" t="s">
        <v>22</v>
      </c>
      <c r="C258" s="3" t="s">
        <v>10</v>
      </c>
      <c r="D258" s="14">
        <v>220</v>
      </c>
      <c r="E258" s="3">
        <v>1</v>
      </c>
      <c r="F258" s="3" t="s">
        <v>14</v>
      </c>
      <c r="G258" s="17">
        <f t="shared" ref="G258:G321" si="4">D258*E258</f>
        <v>220</v>
      </c>
    </row>
    <row r="259" spans="1:7" x14ac:dyDescent="0.3">
      <c r="A259" s="4">
        <v>46079</v>
      </c>
      <c r="B259" s="3" t="s">
        <v>9</v>
      </c>
      <c r="C259" s="3" t="s">
        <v>10</v>
      </c>
      <c r="D259" s="14">
        <v>120</v>
      </c>
      <c r="E259" s="3">
        <v>4</v>
      </c>
      <c r="F259" s="3" t="s">
        <v>8</v>
      </c>
      <c r="G259" s="17">
        <f t="shared" si="4"/>
        <v>480</v>
      </c>
    </row>
    <row r="260" spans="1:7" x14ac:dyDescent="0.3">
      <c r="A260" s="4">
        <v>46080</v>
      </c>
      <c r="B260" s="3" t="s">
        <v>15</v>
      </c>
      <c r="C260" s="3" t="s">
        <v>10</v>
      </c>
      <c r="D260" s="14">
        <v>210</v>
      </c>
      <c r="E260" s="3">
        <v>2</v>
      </c>
      <c r="F260" s="3" t="s">
        <v>12</v>
      </c>
      <c r="G260" s="17">
        <f t="shared" si="4"/>
        <v>420</v>
      </c>
    </row>
    <row r="261" spans="1:7" x14ac:dyDescent="0.3">
      <c r="A261" s="4">
        <v>46080</v>
      </c>
      <c r="B261" s="3" t="s">
        <v>9</v>
      </c>
      <c r="C261" s="3" t="s">
        <v>10</v>
      </c>
      <c r="D261" s="14">
        <v>120</v>
      </c>
      <c r="E261" s="3">
        <v>2</v>
      </c>
      <c r="F261" s="3" t="s">
        <v>12</v>
      </c>
      <c r="G261" s="17">
        <f t="shared" si="4"/>
        <v>240</v>
      </c>
    </row>
    <row r="262" spans="1:7" x14ac:dyDescent="0.3">
      <c r="A262" s="4">
        <v>46080</v>
      </c>
      <c r="B262" s="3" t="s">
        <v>20</v>
      </c>
      <c r="C262" s="3" t="s">
        <v>10</v>
      </c>
      <c r="D262" s="14">
        <v>180</v>
      </c>
      <c r="E262" s="3">
        <v>5</v>
      </c>
      <c r="F262" s="3" t="s">
        <v>14</v>
      </c>
      <c r="G262" s="17">
        <f t="shared" si="4"/>
        <v>900</v>
      </c>
    </row>
    <row r="263" spans="1:7" x14ac:dyDescent="0.3">
      <c r="A263" s="4">
        <v>46081</v>
      </c>
      <c r="B263" s="3" t="s">
        <v>13</v>
      </c>
      <c r="C263" s="3" t="s">
        <v>7</v>
      </c>
      <c r="D263" s="14">
        <v>280</v>
      </c>
      <c r="E263" s="3">
        <v>1</v>
      </c>
      <c r="F263" s="3" t="s">
        <v>12</v>
      </c>
      <c r="G263" s="17">
        <f t="shared" si="4"/>
        <v>280</v>
      </c>
    </row>
    <row r="264" spans="1:7" x14ac:dyDescent="0.3">
      <c r="A264" s="4">
        <v>46081</v>
      </c>
      <c r="B264" s="3" t="s">
        <v>20</v>
      </c>
      <c r="C264" s="3" t="s">
        <v>10</v>
      </c>
      <c r="D264" s="14">
        <v>180</v>
      </c>
      <c r="E264" s="3">
        <v>5</v>
      </c>
      <c r="F264" s="3" t="s">
        <v>8</v>
      </c>
      <c r="G264" s="17">
        <f t="shared" si="4"/>
        <v>900</v>
      </c>
    </row>
    <row r="265" spans="1:7" x14ac:dyDescent="0.3">
      <c r="A265" s="4">
        <v>46081</v>
      </c>
      <c r="B265" s="3" t="s">
        <v>17</v>
      </c>
      <c r="C265" s="3" t="s">
        <v>10</v>
      </c>
      <c r="D265" s="14">
        <v>240</v>
      </c>
      <c r="E265" s="3">
        <v>3</v>
      </c>
      <c r="F265" s="3" t="s">
        <v>8</v>
      </c>
      <c r="G265" s="17">
        <f t="shared" si="4"/>
        <v>720</v>
      </c>
    </row>
    <row r="266" spans="1:7" x14ac:dyDescent="0.3">
      <c r="A266" s="4">
        <v>46082</v>
      </c>
      <c r="B266" s="3" t="s">
        <v>15</v>
      </c>
      <c r="C266" s="3" t="s">
        <v>10</v>
      </c>
      <c r="D266" s="14">
        <v>210</v>
      </c>
      <c r="E266" s="3">
        <v>5</v>
      </c>
      <c r="F266" s="3" t="s">
        <v>14</v>
      </c>
      <c r="G266" s="17">
        <f t="shared" si="4"/>
        <v>1050</v>
      </c>
    </row>
    <row r="267" spans="1:7" x14ac:dyDescent="0.3">
      <c r="A267" s="4">
        <v>46082</v>
      </c>
      <c r="B267" s="3" t="s">
        <v>18</v>
      </c>
      <c r="C267" s="3" t="s">
        <v>7</v>
      </c>
      <c r="D267" s="14">
        <v>140</v>
      </c>
      <c r="E267" s="3">
        <v>5</v>
      </c>
      <c r="F267" s="3" t="s">
        <v>14</v>
      </c>
      <c r="G267" s="17">
        <f t="shared" si="4"/>
        <v>700</v>
      </c>
    </row>
    <row r="268" spans="1:7" x14ac:dyDescent="0.3">
      <c r="A268" s="4">
        <v>46082</v>
      </c>
      <c r="B268" s="3" t="s">
        <v>20</v>
      </c>
      <c r="C268" s="3" t="s">
        <v>10</v>
      </c>
      <c r="D268" s="14">
        <v>180</v>
      </c>
      <c r="E268" s="3">
        <v>5</v>
      </c>
      <c r="F268" s="3" t="s">
        <v>14</v>
      </c>
      <c r="G268" s="17">
        <f t="shared" si="4"/>
        <v>900</v>
      </c>
    </row>
    <row r="269" spans="1:7" x14ac:dyDescent="0.3">
      <c r="A269" s="4">
        <v>46082</v>
      </c>
      <c r="B269" s="3" t="s">
        <v>21</v>
      </c>
      <c r="C269" s="3" t="s">
        <v>7</v>
      </c>
      <c r="D269" s="14">
        <v>320</v>
      </c>
      <c r="E269" s="3">
        <v>4</v>
      </c>
      <c r="F269" s="3" t="s">
        <v>14</v>
      </c>
      <c r="G269" s="17">
        <f t="shared" si="4"/>
        <v>1280</v>
      </c>
    </row>
    <row r="270" spans="1:7" x14ac:dyDescent="0.3">
      <c r="A270" s="4">
        <v>46082</v>
      </c>
      <c r="B270" s="3" t="s">
        <v>9</v>
      </c>
      <c r="C270" s="3" t="s">
        <v>10</v>
      </c>
      <c r="D270" s="14">
        <v>120</v>
      </c>
      <c r="E270" s="3">
        <v>5</v>
      </c>
      <c r="F270" s="3" t="s">
        <v>8</v>
      </c>
      <c r="G270" s="17">
        <f t="shared" si="4"/>
        <v>600</v>
      </c>
    </row>
    <row r="271" spans="1:7" x14ac:dyDescent="0.3">
      <c r="A271" s="4">
        <v>46083</v>
      </c>
      <c r="B271" s="3" t="s">
        <v>16</v>
      </c>
      <c r="C271" s="3" t="s">
        <v>10</v>
      </c>
      <c r="D271" s="14">
        <v>150</v>
      </c>
      <c r="E271" s="3">
        <v>2</v>
      </c>
      <c r="F271" s="3" t="s">
        <v>12</v>
      </c>
      <c r="G271" s="17">
        <f t="shared" si="4"/>
        <v>300</v>
      </c>
    </row>
    <row r="272" spans="1:7" x14ac:dyDescent="0.3">
      <c r="A272" s="4">
        <v>46083</v>
      </c>
      <c r="B272" s="3" t="s">
        <v>19</v>
      </c>
      <c r="C272" s="3" t="s">
        <v>7</v>
      </c>
      <c r="D272" s="14">
        <v>90</v>
      </c>
      <c r="E272" s="3">
        <v>1</v>
      </c>
      <c r="F272" s="3" t="s">
        <v>12</v>
      </c>
      <c r="G272" s="17">
        <f t="shared" si="4"/>
        <v>90</v>
      </c>
    </row>
    <row r="273" spans="1:7" x14ac:dyDescent="0.3">
      <c r="A273" s="4">
        <v>46083</v>
      </c>
      <c r="B273" s="3" t="s">
        <v>9</v>
      </c>
      <c r="C273" s="3" t="s">
        <v>10</v>
      </c>
      <c r="D273" s="14">
        <v>120</v>
      </c>
      <c r="E273" s="3">
        <v>3</v>
      </c>
      <c r="F273" s="3" t="s">
        <v>12</v>
      </c>
      <c r="G273" s="17">
        <f t="shared" si="4"/>
        <v>360</v>
      </c>
    </row>
    <row r="274" spans="1:7" x14ac:dyDescent="0.3">
      <c r="A274" s="4">
        <v>46083</v>
      </c>
      <c r="B274" s="3" t="s">
        <v>21</v>
      </c>
      <c r="C274" s="3" t="s">
        <v>7</v>
      </c>
      <c r="D274" s="14">
        <v>320</v>
      </c>
      <c r="E274" s="3">
        <v>2</v>
      </c>
      <c r="F274" s="3" t="s">
        <v>12</v>
      </c>
      <c r="G274" s="17">
        <f t="shared" si="4"/>
        <v>640</v>
      </c>
    </row>
    <row r="275" spans="1:7" x14ac:dyDescent="0.3">
      <c r="A275" s="4">
        <v>46083</v>
      </c>
      <c r="B275" s="3" t="s">
        <v>21</v>
      </c>
      <c r="C275" s="3" t="s">
        <v>7</v>
      </c>
      <c r="D275" s="14">
        <v>320</v>
      </c>
      <c r="E275" s="3">
        <v>2</v>
      </c>
      <c r="F275" s="3" t="s">
        <v>12</v>
      </c>
      <c r="G275" s="17">
        <f t="shared" si="4"/>
        <v>640</v>
      </c>
    </row>
    <row r="276" spans="1:7" x14ac:dyDescent="0.3">
      <c r="A276" s="4">
        <v>46083</v>
      </c>
      <c r="B276" s="3" t="s">
        <v>16</v>
      </c>
      <c r="C276" s="3" t="s">
        <v>10</v>
      </c>
      <c r="D276" s="14">
        <v>150</v>
      </c>
      <c r="E276" s="3">
        <v>2</v>
      </c>
      <c r="F276" s="3" t="s">
        <v>8</v>
      </c>
      <c r="G276" s="17">
        <f t="shared" si="4"/>
        <v>300</v>
      </c>
    </row>
    <row r="277" spans="1:7" x14ac:dyDescent="0.3">
      <c r="A277" s="4">
        <v>46083</v>
      </c>
      <c r="B277" s="3" t="s">
        <v>15</v>
      </c>
      <c r="C277" s="3" t="s">
        <v>10</v>
      </c>
      <c r="D277" s="14">
        <v>210</v>
      </c>
      <c r="E277" s="3">
        <v>3</v>
      </c>
      <c r="F277" s="3" t="s">
        <v>8</v>
      </c>
      <c r="G277" s="17">
        <f t="shared" si="4"/>
        <v>630</v>
      </c>
    </row>
    <row r="278" spans="1:7" x14ac:dyDescent="0.3">
      <c r="A278" s="4">
        <v>46084</v>
      </c>
      <c r="B278" s="3" t="s">
        <v>15</v>
      </c>
      <c r="C278" s="3" t="s">
        <v>10</v>
      </c>
      <c r="D278" s="14">
        <v>210</v>
      </c>
      <c r="E278" s="3">
        <v>4</v>
      </c>
      <c r="F278" s="3" t="s">
        <v>12</v>
      </c>
      <c r="G278" s="17">
        <f t="shared" si="4"/>
        <v>840</v>
      </c>
    </row>
    <row r="279" spans="1:7" x14ac:dyDescent="0.3">
      <c r="A279" s="4">
        <v>46084</v>
      </c>
      <c r="B279" s="3" t="s">
        <v>13</v>
      </c>
      <c r="C279" s="3" t="s">
        <v>7</v>
      </c>
      <c r="D279" s="14">
        <v>280</v>
      </c>
      <c r="E279" s="3">
        <v>1</v>
      </c>
      <c r="F279" s="3" t="s">
        <v>12</v>
      </c>
      <c r="G279" s="17">
        <f t="shared" si="4"/>
        <v>280</v>
      </c>
    </row>
    <row r="280" spans="1:7" x14ac:dyDescent="0.3">
      <c r="A280" s="4">
        <v>46084</v>
      </c>
      <c r="B280" s="3" t="s">
        <v>17</v>
      </c>
      <c r="C280" s="3" t="s">
        <v>10</v>
      </c>
      <c r="D280" s="14">
        <v>240</v>
      </c>
      <c r="E280" s="3">
        <v>5</v>
      </c>
      <c r="F280" s="3" t="s">
        <v>12</v>
      </c>
      <c r="G280" s="17">
        <f t="shared" si="4"/>
        <v>1200</v>
      </c>
    </row>
    <row r="281" spans="1:7" x14ac:dyDescent="0.3">
      <c r="A281" s="4">
        <v>46084</v>
      </c>
      <c r="B281" s="3" t="s">
        <v>16</v>
      </c>
      <c r="C281" s="3" t="s">
        <v>10</v>
      </c>
      <c r="D281" s="14">
        <v>150</v>
      </c>
      <c r="E281" s="3">
        <v>2</v>
      </c>
      <c r="F281" s="3" t="s">
        <v>8</v>
      </c>
      <c r="G281" s="17">
        <f t="shared" si="4"/>
        <v>300</v>
      </c>
    </row>
    <row r="282" spans="1:7" x14ac:dyDescent="0.3">
      <c r="A282" s="4">
        <v>46084</v>
      </c>
      <c r="B282" s="3" t="s">
        <v>18</v>
      </c>
      <c r="C282" s="3" t="s">
        <v>7</v>
      </c>
      <c r="D282" s="14">
        <v>140</v>
      </c>
      <c r="E282" s="3">
        <v>2</v>
      </c>
      <c r="F282" s="3" t="s">
        <v>8</v>
      </c>
      <c r="G282" s="17">
        <f t="shared" si="4"/>
        <v>280</v>
      </c>
    </row>
    <row r="283" spans="1:7" x14ac:dyDescent="0.3">
      <c r="A283" s="4">
        <v>46085</v>
      </c>
      <c r="B283" s="3" t="s">
        <v>9</v>
      </c>
      <c r="C283" s="3" t="s">
        <v>10</v>
      </c>
      <c r="D283" s="14">
        <v>120</v>
      </c>
      <c r="E283" s="3">
        <v>1</v>
      </c>
      <c r="F283" s="3" t="s">
        <v>12</v>
      </c>
      <c r="G283" s="17">
        <f t="shared" si="4"/>
        <v>120</v>
      </c>
    </row>
    <row r="284" spans="1:7" x14ac:dyDescent="0.3">
      <c r="A284" s="4">
        <v>46085</v>
      </c>
      <c r="B284" s="3" t="s">
        <v>22</v>
      </c>
      <c r="C284" s="3" t="s">
        <v>10</v>
      </c>
      <c r="D284" s="14">
        <v>220</v>
      </c>
      <c r="E284" s="3">
        <v>2</v>
      </c>
      <c r="F284" s="3" t="s">
        <v>12</v>
      </c>
      <c r="G284" s="17">
        <f t="shared" si="4"/>
        <v>440</v>
      </c>
    </row>
    <row r="285" spans="1:7" x14ac:dyDescent="0.3">
      <c r="A285" s="4">
        <v>46085</v>
      </c>
      <c r="B285" s="3" t="s">
        <v>21</v>
      </c>
      <c r="C285" s="3" t="s">
        <v>7</v>
      </c>
      <c r="D285" s="14">
        <v>320</v>
      </c>
      <c r="E285" s="3">
        <v>2</v>
      </c>
      <c r="F285" s="3" t="s">
        <v>14</v>
      </c>
      <c r="G285" s="17">
        <f t="shared" si="4"/>
        <v>640</v>
      </c>
    </row>
    <row r="286" spans="1:7" x14ac:dyDescent="0.3">
      <c r="A286" s="4">
        <v>46085</v>
      </c>
      <c r="B286" s="3" t="s">
        <v>20</v>
      </c>
      <c r="C286" s="3" t="s">
        <v>10</v>
      </c>
      <c r="D286" s="14">
        <v>180</v>
      </c>
      <c r="E286" s="3">
        <v>2</v>
      </c>
      <c r="F286" s="3" t="s">
        <v>8</v>
      </c>
      <c r="G286" s="17">
        <f t="shared" si="4"/>
        <v>360</v>
      </c>
    </row>
    <row r="287" spans="1:7" x14ac:dyDescent="0.3">
      <c r="A287" s="4">
        <v>46085</v>
      </c>
      <c r="B287" s="3" t="s">
        <v>21</v>
      </c>
      <c r="C287" s="3" t="s">
        <v>7</v>
      </c>
      <c r="D287" s="14">
        <v>320</v>
      </c>
      <c r="E287" s="3">
        <v>3</v>
      </c>
      <c r="F287" s="3" t="s">
        <v>8</v>
      </c>
      <c r="G287" s="17">
        <f t="shared" si="4"/>
        <v>960</v>
      </c>
    </row>
    <row r="288" spans="1:7" x14ac:dyDescent="0.3">
      <c r="A288" s="4">
        <v>46086</v>
      </c>
      <c r="B288" s="3" t="s">
        <v>18</v>
      </c>
      <c r="C288" s="3" t="s">
        <v>7</v>
      </c>
      <c r="D288" s="14">
        <v>140</v>
      </c>
      <c r="E288" s="3">
        <v>2</v>
      </c>
      <c r="F288" s="3" t="s">
        <v>12</v>
      </c>
      <c r="G288" s="17">
        <f t="shared" si="4"/>
        <v>280</v>
      </c>
    </row>
    <row r="289" spans="1:7" x14ac:dyDescent="0.3">
      <c r="A289" s="4">
        <v>46086</v>
      </c>
      <c r="B289" s="3" t="s">
        <v>20</v>
      </c>
      <c r="C289" s="3" t="s">
        <v>10</v>
      </c>
      <c r="D289" s="14">
        <v>180</v>
      </c>
      <c r="E289" s="3">
        <v>4</v>
      </c>
      <c r="F289" s="3" t="s">
        <v>12</v>
      </c>
      <c r="G289" s="17">
        <f t="shared" si="4"/>
        <v>720</v>
      </c>
    </row>
    <row r="290" spans="1:7" x14ac:dyDescent="0.3">
      <c r="A290" s="4">
        <v>46086</v>
      </c>
      <c r="B290" s="3" t="s">
        <v>22</v>
      </c>
      <c r="C290" s="3" t="s">
        <v>10</v>
      </c>
      <c r="D290" s="14">
        <v>220</v>
      </c>
      <c r="E290" s="3">
        <v>3</v>
      </c>
      <c r="F290" s="3" t="s">
        <v>12</v>
      </c>
      <c r="G290" s="17">
        <f t="shared" si="4"/>
        <v>660</v>
      </c>
    </row>
    <row r="291" spans="1:7" x14ac:dyDescent="0.3">
      <c r="A291" s="4">
        <v>46086</v>
      </c>
      <c r="B291" s="3" t="s">
        <v>16</v>
      </c>
      <c r="C291" s="3" t="s">
        <v>10</v>
      </c>
      <c r="D291" s="14">
        <v>150</v>
      </c>
      <c r="E291" s="3">
        <v>4</v>
      </c>
      <c r="F291" s="3" t="s">
        <v>14</v>
      </c>
      <c r="G291" s="17">
        <f t="shared" si="4"/>
        <v>600</v>
      </c>
    </row>
    <row r="292" spans="1:7" x14ac:dyDescent="0.3">
      <c r="A292" s="4">
        <v>46086</v>
      </c>
      <c r="B292" s="3" t="s">
        <v>15</v>
      </c>
      <c r="C292" s="3" t="s">
        <v>10</v>
      </c>
      <c r="D292" s="14">
        <v>210</v>
      </c>
      <c r="E292" s="3">
        <v>1</v>
      </c>
      <c r="F292" s="3" t="s">
        <v>8</v>
      </c>
      <c r="G292" s="17">
        <f t="shared" si="4"/>
        <v>210</v>
      </c>
    </row>
    <row r="293" spans="1:7" x14ac:dyDescent="0.3">
      <c r="A293" s="4">
        <v>46086</v>
      </c>
      <c r="B293" s="3" t="s">
        <v>19</v>
      </c>
      <c r="C293" s="3" t="s">
        <v>7</v>
      </c>
      <c r="D293" s="14">
        <v>90</v>
      </c>
      <c r="E293" s="3">
        <v>3</v>
      </c>
      <c r="F293" s="3" t="s">
        <v>8</v>
      </c>
      <c r="G293" s="17">
        <f t="shared" si="4"/>
        <v>270</v>
      </c>
    </row>
    <row r="294" spans="1:7" x14ac:dyDescent="0.3">
      <c r="A294" s="4">
        <v>46086</v>
      </c>
      <c r="B294" s="3" t="s">
        <v>20</v>
      </c>
      <c r="C294" s="3" t="s">
        <v>10</v>
      </c>
      <c r="D294" s="14">
        <v>180</v>
      </c>
      <c r="E294" s="3">
        <v>4</v>
      </c>
      <c r="F294" s="3" t="s">
        <v>8</v>
      </c>
      <c r="G294" s="17">
        <f t="shared" si="4"/>
        <v>720</v>
      </c>
    </row>
    <row r="295" spans="1:7" x14ac:dyDescent="0.3">
      <c r="A295" s="4">
        <v>46087</v>
      </c>
      <c r="B295" s="3" t="s">
        <v>15</v>
      </c>
      <c r="C295" s="3" t="s">
        <v>10</v>
      </c>
      <c r="D295" s="14">
        <v>210</v>
      </c>
      <c r="E295" s="3">
        <v>5</v>
      </c>
      <c r="F295" s="3" t="s">
        <v>12</v>
      </c>
      <c r="G295" s="17">
        <f t="shared" si="4"/>
        <v>1050</v>
      </c>
    </row>
    <row r="296" spans="1:7" x14ac:dyDescent="0.3">
      <c r="A296" s="4">
        <v>46087</v>
      </c>
      <c r="B296" s="3" t="s">
        <v>18</v>
      </c>
      <c r="C296" s="3" t="s">
        <v>7</v>
      </c>
      <c r="D296" s="14">
        <v>140</v>
      </c>
      <c r="E296" s="3">
        <v>2</v>
      </c>
      <c r="F296" s="3" t="s">
        <v>12</v>
      </c>
      <c r="G296" s="17">
        <f t="shared" si="4"/>
        <v>280</v>
      </c>
    </row>
    <row r="297" spans="1:7" x14ac:dyDescent="0.3">
      <c r="A297" s="4">
        <v>46087</v>
      </c>
      <c r="B297" s="3" t="s">
        <v>11</v>
      </c>
      <c r="C297" s="3" t="s">
        <v>7</v>
      </c>
      <c r="D297" s="14">
        <v>180</v>
      </c>
      <c r="E297" s="3">
        <v>4</v>
      </c>
      <c r="F297" s="3" t="s">
        <v>14</v>
      </c>
      <c r="G297" s="17">
        <f t="shared" si="4"/>
        <v>720</v>
      </c>
    </row>
    <row r="298" spans="1:7" x14ac:dyDescent="0.3">
      <c r="A298" s="4">
        <v>46087</v>
      </c>
      <c r="B298" s="3" t="s">
        <v>11</v>
      </c>
      <c r="C298" s="3" t="s">
        <v>7</v>
      </c>
      <c r="D298" s="14">
        <v>180</v>
      </c>
      <c r="E298" s="3">
        <v>4</v>
      </c>
      <c r="F298" s="3" t="s">
        <v>8</v>
      </c>
      <c r="G298" s="17">
        <f t="shared" si="4"/>
        <v>720</v>
      </c>
    </row>
    <row r="299" spans="1:7" x14ac:dyDescent="0.3">
      <c r="A299" s="4">
        <v>46088</v>
      </c>
      <c r="B299" s="3" t="s">
        <v>21</v>
      </c>
      <c r="C299" s="3" t="s">
        <v>7</v>
      </c>
      <c r="D299" s="14">
        <v>320</v>
      </c>
      <c r="E299" s="3">
        <v>3</v>
      </c>
      <c r="F299" s="3" t="s">
        <v>8</v>
      </c>
      <c r="G299" s="17">
        <f t="shared" si="4"/>
        <v>960</v>
      </c>
    </row>
    <row r="300" spans="1:7" x14ac:dyDescent="0.3">
      <c r="A300" s="4">
        <v>46089</v>
      </c>
      <c r="B300" s="3" t="s">
        <v>16</v>
      </c>
      <c r="C300" s="3" t="s">
        <v>10</v>
      </c>
      <c r="D300" s="14">
        <v>150</v>
      </c>
      <c r="E300" s="3">
        <v>1</v>
      </c>
      <c r="F300" s="3" t="s">
        <v>12</v>
      </c>
      <c r="G300" s="17">
        <f t="shared" si="4"/>
        <v>150</v>
      </c>
    </row>
    <row r="301" spans="1:7" x14ac:dyDescent="0.3">
      <c r="A301" s="4">
        <v>46089</v>
      </c>
      <c r="B301" s="3" t="s">
        <v>11</v>
      </c>
      <c r="C301" s="3" t="s">
        <v>7</v>
      </c>
      <c r="D301" s="14">
        <v>180</v>
      </c>
      <c r="E301" s="3">
        <v>3</v>
      </c>
      <c r="F301" s="3" t="s">
        <v>12</v>
      </c>
      <c r="G301" s="17">
        <f t="shared" si="4"/>
        <v>540</v>
      </c>
    </row>
    <row r="302" spans="1:7" x14ac:dyDescent="0.3">
      <c r="A302" s="4">
        <v>46089</v>
      </c>
      <c r="B302" s="3" t="s">
        <v>15</v>
      </c>
      <c r="C302" s="3" t="s">
        <v>10</v>
      </c>
      <c r="D302" s="14">
        <v>210</v>
      </c>
      <c r="E302" s="3">
        <v>3</v>
      </c>
      <c r="F302" s="3" t="s">
        <v>12</v>
      </c>
      <c r="G302" s="17">
        <f t="shared" si="4"/>
        <v>630</v>
      </c>
    </row>
    <row r="303" spans="1:7" x14ac:dyDescent="0.3">
      <c r="A303" s="4">
        <v>46089</v>
      </c>
      <c r="B303" s="3" t="s">
        <v>15</v>
      </c>
      <c r="C303" s="3" t="s">
        <v>10</v>
      </c>
      <c r="D303" s="14">
        <v>210</v>
      </c>
      <c r="E303" s="3">
        <v>1</v>
      </c>
      <c r="F303" s="3" t="s">
        <v>12</v>
      </c>
      <c r="G303" s="17">
        <f t="shared" si="4"/>
        <v>210</v>
      </c>
    </row>
    <row r="304" spans="1:7" x14ac:dyDescent="0.3">
      <c r="A304" s="4">
        <v>46089</v>
      </c>
      <c r="B304" s="3" t="s">
        <v>18</v>
      </c>
      <c r="C304" s="3" t="s">
        <v>7</v>
      </c>
      <c r="D304" s="14">
        <v>140</v>
      </c>
      <c r="E304" s="3">
        <v>2</v>
      </c>
      <c r="F304" s="3" t="s">
        <v>12</v>
      </c>
      <c r="G304" s="17">
        <f t="shared" si="4"/>
        <v>280</v>
      </c>
    </row>
    <row r="305" spans="1:7" x14ac:dyDescent="0.3">
      <c r="A305" s="4">
        <v>46090</v>
      </c>
      <c r="B305" s="3" t="s">
        <v>18</v>
      </c>
      <c r="C305" s="3" t="s">
        <v>7</v>
      </c>
      <c r="D305" s="14">
        <v>140</v>
      </c>
      <c r="E305" s="3">
        <v>3</v>
      </c>
      <c r="F305" s="3" t="s">
        <v>8</v>
      </c>
      <c r="G305" s="17">
        <f t="shared" si="4"/>
        <v>420</v>
      </c>
    </row>
    <row r="306" spans="1:7" x14ac:dyDescent="0.3">
      <c r="A306" s="4">
        <v>46090</v>
      </c>
      <c r="B306" s="3" t="s">
        <v>18</v>
      </c>
      <c r="C306" s="3" t="s">
        <v>7</v>
      </c>
      <c r="D306" s="14">
        <v>140</v>
      </c>
      <c r="E306" s="3">
        <v>5</v>
      </c>
      <c r="F306" s="3" t="s">
        <v>8</v>
      </c>
      <c r="G306" s="17">
        <f t="shared" si="4"/>
        <v>700</v>
      </c>
    </row>
    <row r="307" spans="1:7" x14ac:dyDescent="0.3">
      <c r="A307" s="4">
        <v>46090</v>
      </c>
      <c r="B307" s="3" t="s">
        <v>9</v>
      </c>
      <c r="C307" s="3" t="s">
        <v>10</v>
      </c>
      <c r="D307" s="14">
        <v>120</v>
      </c>
      <c r="E307" s="3">
        <v>5</v>
      </c>
      <c r="F307" s="3" t="s">
        <v>8</v>
      </c>
      <c r="G307" s="17">
        <f t="shared" si="4"/>
        <v>600</v>
      </c>
    </row>
    <row r="308" spans="1:7" x14ac:dyDescent="0.3">
      <c r="A308" s="4">
        <v>46090</v>
      </c>
      <c r="B308" s="3" t="s">
        <v>20</v>
      </c>
      <c r="C308" s="3" t="s">
        <v>10</v>
      </c>
      <c r="D308" s="14">
        <v>180</v>
      </c>
      <c r="E308" s="3">
        <v>2</v>
      </c>
      <c r="F308" s="3" t="s">
        <v>8</v>
      </c>
      <c r="G308" s="17">
        <f t="shared" si="4"/>
        <v>360</v>
      </c>
    </row>
    <row r="309" spans="1:7" x14ac:dyDescent="0.3">
      <c r="A309" s="4">
        <v>46091</v>
      </c>
      <c r="B309" s="3" t="s">
        <v>16</v>
      </c>
      <c r="C309" s="3" t="s">
        <v>10</v>
      </c>
      <c r="D309" s="14">
        <v>150</v>
      </c>
      <c r="E309" s="3">
        <v>1</v>
      </c>
      <c r="F309" s="3" t="s">
        <v>12</v>
      </c>
      <c r="G309" s="17">
        <f t="shared" si="4"/>
        <v>150</v>
      </c>
    </row>
    <row r="310" spans="1:7" x14ac:dyDescent="0.3">
      <c r="A310" s="4">
        <v>46091</v>
      </c>
      <c r="B310" s="3" t="s">
        <v>22</v>
      </c>
      <c r="C310" s="3" t="s">
        <v>10</v>
      </c>
      <c r="D310" s="14">
        <v>220</v>
      </c>
      <c r="E310" s="3">
        <v>5</v>
      </c>
      <c r="F310" s="3" t="s">
        <v>12</v>
      </c>
      <c r="G310" s="17">
        <f t="shared" si="4"/>
        <v>1100</v>
      </c>
    </row>
    <row r="311" spans="1:7" x14ac:dyDescent="0.3">
      <c r="A311" s="4">
        <v>46091</v>
      </c>
      <c r="B311" s="3" t="s">
        <v>19</v>
      </c>
      <c r="C311" s="3" t="s">
        <v>7</v>
      </c>
      <c r="D311" s="14">
        <v>90</v>
      </c>
      <c r="E311" s="3">
        <v>2</v>
      </c>
      <c r="F311" s="3" t="s">
        <v>14</v>
      </c>
      <c r="G311" s="17">
        <f t="shared" si="4"/>
        <v>180</v>
      </c>
    </row>
    <row r="312" spans="1:7" x14ac:dyDescent="0.3">
      <c r="A312" s="4">
        <v>46091</v>
      </c>
      <c r="B312" s="3" t="s">
        <v>17</v>
      </c>
      <c r="C312" s="3" t="s">
        <v>10</v>
      </c>
      <c r="D312" s="14">
        <v>240</v>
      </c>
      <c r="E312" s="3">
        <v>2</v>
      </c>
      <c r="F312" s="3" t="s">
        <v>14</v>
      </c>
      <c r="G312" s="17">
        <f t="shared" si="4"/>
        <v>480</v>
      </c>
    </row>
    <row r="313" spans="1:7" x14ac:dyDescent="0.3">
      <c r="A313" s="4">
        <v>46092</v>
      </c>
      <c r="B313" s="3" t="s">
        <v>19</v>
      </c>
      <c r="C313" s="3" t="s">
        <v>7</v>
      </c>
      <c r="D313" s="14">
        <v>90</v>
      </c>
      <c r="E313" s="3">
        <v>1</v>
      </c>
      <c r="F313" s="3" t="s">
        <v>12</v>
      </c>
      <c r="G313" s="17">
        <f t="shared" si="4"/>
        <v>90</v>
      </c>
    </row>
    <row r="314" spans="1:7" x14ac:dyDescent="0.3">
      <c r="A314" s="4">
        <v>46092</v>
      </c>
      <c r="B314" s="3" t="s">
        <v>9</v>
      </c>
      <c r="C314" s="3" t="s">
        <v>10</v>
      </c>
      <c r="D314" s="14">
        <v>120</v>
      </c>
      <c r="E314" s="3">
        <v>1</v>
      </c>
      <c r="F314" s="3" t="s">
        <v>12</v>
      </c>
      <c r="G314" s="17">
        <f t="shared" si="4"/>
        <v>120</v>
      </c>
    </row>
    <row r="315" spans="1:7" x14ac:dyDescent="0.3">
      <c r="A315" s="4">
        <v>46092</v>
      </c>
      <c r="B315" s="3" t="s">
        <v>20</v>
      </c>
      <c r="C315" s="3" t="s">
        <v>10</v>
      </c>
      <c r="D315" s="14">
        <v>180</v>
      </c>
      <c r="E315" s="3">
        <v>3</v>
      </c>
      <c r="F315" s="3" t="s">
        <v>12</v>
      </c>
      <c r="G315" s="17">
        <f t="shared" si="4"/>
        <v>540</v>
      </c>
    </row>
    <row r="316" spans="1:7" x14ac:dyDescent="0.3">
      <c r="A316" s="4">
        <v>46092</v>
      </c>
      <c r="B316" s="3" t="s">
        <v>11</v>
      </c>
      <c r="C316" s="3" t="s">
        <v>7</v>
      </c>
      <c r="D316" s="14">
        <v>180</v>
      </c>
      <c r="E316" s="3">
        <v>1</v>
      </c>
      <c r="F316" s="3" t="s">
        <v>8</v>
      </c>
      <c r="G316" s="17">
        <f t="shared" si="4"/>
        <v>180</v>
      </c>
    </row>
    <row r="317" spans="1:7" x14ac:dyDescent="0.3">
      <c r="A317" s="4">
        <v>46092</v>
      </c>
      <c r="B317" s="3" t="s">
        <v>18</v>
      </c>
      <c r="C317" s="3" t="s">
        <v>7</v>
      </c>
      <c r="D317" s="14">
        <v>140</v>
      </c>
      <c r="E317" s="3">
        <v>3</v>
      </c>
      <c r="F317" s="3" t="s">
        <v>8</v>
      </c>
      <c r="G317" s="17">
        <f t="shared" si="4"/>
        <v>420</v>
      </c>
    </row>
    <row r="318" spans="1:7" x14ac:dyDescent="0.3">
      <c r="A318" s="4">
        <v>46093</v>
      </c>
      <c r="B318" s="3" t="s">
        <v>15</v>
      </c>
      <c r="C318" s="3" t="s">
        <v>10</v>
      </c>
      <c r="D318" s="14">
        <v>210</v>
      </c>
      <c r="E318" s="3">
        <v>5</v>
      </c>
      <c r="F318" s="3" t="s">
        <v>14</v>
      </c>
      <c r="G318" s="17">
        <f t="shared" si="4"/>
        <v>1050</v>
      </c>
    </row>
    <row r="319" spans="1:7" x14ac:dyDescent="0.3">
      <c r="A319" s="4">
        <v>46093</v>
      </c>
      <c r="B319" s="3" t="s">
        <v>19</v>
      </c>
      <c r="C319" s="3" t="s">
        <v>7</v>
      </c>
      <c r="D319" s="14">
        <v>90</v>
      </c>
      <c r="E319" s="3">
        <v>5</v>
      </c>
      <c r="F319" s="3" t="s">
        <v>8</v>
      </c>
      <c r="G319" s="17">
        <f t="shared" si="4"/>
        <v>450</v>
      </c>
    </row>
    <row r="320" spans="1:7" x14ac:dyDescent="0.3">
      <c r="A320" s="4">
        <v>46094</v>
      </c>
      <c r="B320" s="3" t="s">
        <v>13</v>
      </c>
      <c r="C320" s="3" t="s">
        <v>7</v>
      </c>
      <c r="D320" s="14">
        <v>280</v>
      </c>
      <c r="E320" s="3">
        <v>3</v>
      </c>
      <c r="F320" s="3" t="s">
        <v>12</v>
      </c>
      <c r="G320" s="17">
        <f t="shared" si="4"/>
        <v>840</v>
      </c>
    </row>
    <row r="321" spans="1:7" x14ac:dyDescent="0.3">
      <c r="A321" s="4">
        <v>46094</v>
      </c>
      <c r="B321" s="3" t="s">
        <v>17</v>
      </c>
      <c r="C321" s="3" t="s">
        <v>10</v>
      </c>
      <c r="D321" s="14">
        <v>240</v>
      </c>
      <c r="E321" s="3">
        <v>5</v>
      </c>
      <c r="F321" s="3" t="s">
        <v>12</v>
      </c>
      <c r="G321" s="17">
        <f t="shared" si="4"/>
        <v>1200</v>
      </c>
    </row>
    <row r="322" spans="1:7" x14ac:dyDescent="0.3">
      <c r="A322" s="4">
        <v>46094</v>
      </c>
      <c r="B322" s="3" t="s">
        <v>17</v>
      </c>
      <c r="C322" s="3" t="s">
        <v>10</v>
      </c>
      <c r="D322" s="14">
        <v>240</v>
      </c>
      <c r="E322" s="3">
        <v>4</v>
      </c>
      <c r="F322" s="3" t="s">
        <v>12</v>
      </c>
      <c r="G322" s="17">
        <f t="shared" ref="G322:G385" si="5">D322*E322</f>
        <v>960</v>
      </c>
    </row>
    <row r="323" spans="1:7" x14ac:dyDescent="0.3">
      <c r="A323" s="4">
        <v>46094</v>
      </c>
      <c r="B323" s="3" t="s">
        <v>9</v>
      </c>
      <c r="C323" s="3" t="s">
        <v>10</v>
      </c>
      <c r="D323" s="14">
        <v>120</v>
      </c>
      <c r="E323" s="3">
        <v>2</v>
      </c>
      <c r="F323" s="3" t="s">
        <v>14</v>
      </c>
      <c r="G323" s="17">
        <f t="shared" si="5"/>
        <v>240</v>
      </c>
    </row>
    <row r="324" spans="1:7" x14ac:dyDescent="0.3">
      <c r="A324" s="4">
        <v>46094</v>
      </c>
      <c r="B324" s="3" t="s">
        <v>6</v>
      </c>
      <c r="C324" s="3" t="s">
        <v>7</v>
      </c>
      <c r="D324" s="14">
        <v>150</v>
      </c>
      <c r="E324" s="3">
        <v>4</v>
      </c>
      <c r="F324" s="3" t="s">
        <v>8</v>
      </c>
      <c r="G324" s="17">
        <f t="shared" si="5"/>
        <v>600</v>
      </c>
    </row>
    <row r="325" spans="1:7" x14ac:dyDescent="0.3">
      <c r="A325" s="4">
        <v>46094</v>
      </c>
      <c r="B325" s="3" t="s">
        <v>18</v>
      </c>
      <c r="C325" s="3" t="s">
        <v>7</v>
      </c>
      <c r="D325" s="14">
        <v>140</v>
      </c>
      <c r="E325" s="3">
        <v>1</v>
      </c>
      <c r="F325" s="3" t="s">
        <v>8</v>
      </c>
      <c r="G325" s="17">
        <f t="shared" si="5"/>
        <v>140</v>
      </c>
    </row>
    <row r="326" spans="1:7" x14ac:dyDescent="0.3">
      <c r="A326" s="4">
        <v>46094</v>
      </c>
      <c r="B326" s="3" t="s">
        <v>20</v>
      </c>
      <c r="C326" s="3" t="s">
        <v>10</v>
      </c>
      <c r="D326" s="14">
        <v>180</v>
      </c>
      <c r="E326" s="3">
        <v>1</v>
      </c>
      <c r="F326" s="3" t="s">
        <v>8</v>
      </c>
      <c r="G326" s="17">
        <f t="shared" si="5"/>
        <v>180</v>
      </c>
    </row>
    <row r="327" spans="1:7" x14ac:dyDescent="0.3">
      <c r="A327" s="4">
        <v>46094</v>
      </c>
      <c r="B327" s="3" t="s">
        <v>22</v>
      </c>
      <c r="C327" s="3" t="s">
        <v>10</v>
      </c>
      <c r="D327" s="14">
        <v>220</v>
      </c>
      <c r="E327" s="3">
        <v>3</v>
      </c>
      <c r="F327" s="3" t="s">
        <v>8</v>
      </c>
      <c r="G327" s="17">
        <f t="shared" si="5"/>
        <v>660</v>
      </c>
    </row>
    <row r="328" spans="1:7" x14ac:dyDescent="0.3">
      <c r="A328" s="4">
        <v>46094</v>
      </c>
      <c r="B328" s="3" t="s">
        <v>21</v>
      </c>
      <c r="C328" s="3" t="s">
        <v>7</v>
      </c>
      <c r="D328" s="14">
        <v>320</v>
      </c>
      <c r="E328" s="3">
        <v>1</v>
      </c>
      <c r="F328" s="3" t="s">
        <v>8</v>
      </c>
      <c r="G328" s="17">
        <f t="shared" si="5"/>
        <v>320</v>
      </c>
    </row>
    <row r="329" spans="1:7" x14ac:dyDescent="0.3">
      <c r="A329" s="4">
        <v>46095</v>
      </c>
      <c r="B329" s="3" t="s">
        <v>16</v>
      </c>
      <c r="C329" s="3" t="s">
        <v>10</v>
      </c>
      <c r="D329" s="14">
        <v>150</v>
      </c>
      <c r="E329" s="3">
        <v>1</v>
      </c>
      <c r="F329" s="3" t="s">
        <v>12</v>
      </c>
      <c r="G329" s="17">
        <f t="shared" si="5"/>
        <v>150</v>
      </c>
    </row>
    <row r="330" spans="1:7" x14ac:dyDescent="0.3">
      <c r="A330" s="4">
        <v>46095</v>
      </c>
      <c r="B330" s="3" t="s">
        <v>19</v>
      </c>
      <c r="C330" s="3" t="s">
        <v>7</v>
      </c>
      <c r="D330" s="14">
        <v>90</v>
      </c>
      <c r="E330" s="3">
        <v>1</v>
      </c>
      <c r="F330" s="3" t="s">
        <v>12</v>
      </c>
      <c r="G330" s="17">
        <f t="shared" si="5"/>
        <v>90</v>
      </c>
    </row>
    <row r="331" spans="1:7" x14ac:dyDescent="0.3">
      <c r="A331" s="4">
        <v>46095</v>
      </c>
      <c r="B331" s="3" t="s">
        <v>17</v>
      </c>
      <c r="C331" s="3" t="s">
        <v>10</v>
      </c>
      <c r="D331" s="14">
        <v>240</v>
      </c>
      <c r="E331" s="3">
        <v>5</v>
      </c>
      <c r="F331" s="3" t="s">
        <v>14</v>
      </c>
      <c r="G331" s="17">
        <f t="shared" si="5"/>
        <v>1200</v>
      </c>
    </row>
    <row r="332" spans="1:7" x14ac:dyDescent="0.3">
      <c r="A332" s="4">
        <v>46096</v>
      </c>
      <c r="B332" s="3" t="s">
        <v>11</v>
      </c>
      <c r="C332" s="3" t="s">
        <v>7</v>
      </c>
      <c r="D332" s="14">
        <v>180</v>
      </c>
      <c r="E332" s="3">
        <v>2</v>
      </c>
      <c r="F332" s="3" t="s">
        <v>12</v>
      </c>
      <c r="G332" s="17">
        <f t="shared" si="5"/>
        <v>360</v>
      </c>
    </row>
    <row r="333" spans="1:7" x14ac:dyDescent="0.3">
      <c r="A333" s="4">
        <v>46096</v>
      </c>
      <c r="B333" s="3" t="s">
        <v>15</v>
      </c>
      <c r="C333" s="3" t="s">
        <v>10</v>
      </c>
      <c r="D333" s="14">
        <v>210</v>
      </c>
      <c r="E333" s="3">
        <v>2</v>
      </c>
      <c r="F333" s="3" t="s">
        <v>12</v>
      </c>
      <c r="G333" s="17">
        <f t="shared" si="5"/>
        <v>420</v>
      </c>
    </row>
    <row r="334" spans="1:7" x14ac:dyDescent="0.3">
      <c r="A334" s="4">
        <v>46096</v>
      </c>
      <c r="B334" s="3" t="s">
        <v>19</v>
      </c>
      <c r="C334" s="3" t="s">
        <v>7</v>
      </c>
      <c r="D334" s="14">
        <v>90</v>
      </c>
      <c r="E334" s="3">
        <v>2</v>
      </c>
      <c r="F334" s="3" t="s">
        <v>12</v>
      </c>
      <c r="G334" s="17">
        <f t="shared" si="5"/>
        <v>180</v>
      </c>
    </row>
    <row r="335" spans="1:7" x14ac:dyDescent="0.3">
      <c r="A335" s="4">
        <v>46096</v>
      </c>
      <c r="B335" s="3" t="s">
        <v>16</v>
      </c>
      <c r="C335" s="3" t="s">
        <v>10</v>
      </c>
      <c r="D335" s="14">
        <v>150</v>
      </c>
      <c r="E335" s="3">
        <v>5</v>
      </c>
      <c r="F335" s="3" t="s">
        <v>14</v>
      </c>
      <c r="G335" s="17">
        <f t="shared" si="5"/>
        <v>750</v>
      </c>
    </row>
    <row r="336" spans="1:7" x14ac:dyDescent="0.3">
      <c r="A336" s="4">
        <v>46096</v>
      </c>
      <c r="B336" s="3" t="s">
        <v>16</v>
      </c>
      <c r="C336" s="3" t="s">
        <v>10</v>
      </c>
      <c r="D336" s="14">
        <v>150</v>
      </c>
      <c r="E336" s="3">
        <v>4</v>
      </c>
      <c r="F336" s="3" t="s">
        <v>14</v>
      </c>
      <c r="G336" s="17">
        <f t="shared" si="5"/>
        <v>600</v>
      </c>
    </row>
    <row r="337" spans="1:7" x14ac:dyDescent="0.3">
      <c r="A337" s="4">
        <v>46096</v>
      </c>
      <c r="B337" s="3" t="s">
        <v>11</v>
      </c>
      <c r="C337" s="3" t="s">
        <v>7</v>
      </c>
      <c r="D337" s="14">
        <v>180</v>
      </c>
      <c r="E337" s="3">
        <v>4</v>
      </c>
      <c r="F337" s="3" t="s">
        <v>14</v>
      </c>
      <c r="G337" s="17">
        <f t="shared" si="5"/>
        <v>720</v>
      </c>
    </row>
    <row r="338" spans="1:7" x14ac:dyDescent="0.3">
      <c r="A338" s="4">
        <v>46096</v>
      </c>
      <c r="B338" s="3" t="s">
        <v>17</v>
      </c>
      <c r="C338" s="3" t="s">
        <v>10</v>
      </c>
      <c r="D338" s="14">
        <v>240</v>
      </c>
      <c r="E338" s="3">
        <v>4</v>
      </c>
      <c r="F338" s="3" t="s">
        <v>14</v>
      </c>
      <c r="G338" s="17">
        <f t="shared" si="5"/>
        <v>960</v>
      </c>
    </row>
    <row r="339" spans="1:7" x14ac:dyDescent="0.3">
      <c r="A339" s="4">
        <v>46097</v>
      </c>
      <c r="B339" s="3" t="s">
        <v>17</v>
      </c>
      <c r="C339" s="3" t="s">
        <v>10</v>
      </c>
      <c r="D339" s="14">
        <v>240</v>
      </c>
      <c r="E339" s="3">
        <v>1</v>
      </c>
      <c r="F339" s="3" t="s">
        <v>12</v>
      </c>
      <c r="G339" s="17">
        <f t="shared" si="5"/>
        <v>240</v>
      </c>
    </row>
    <row r="340" spans="1:7" x14ac:dyDescent="0.3">
      <c r="A340" s="4">
        <v>46097</v>
      </c>
      <c r="B340" s="3" t="s">
        <v>21</v>
      </c>
      <c r="C340" s="3" t="s">
        <v>7</v>
      </c>
      <c r="D340" s="14">
        <v>320</v>
      </c>
      <c r="E340" s="3">
        <v>5</v>
      </c>
      <c r="F340" s="3" t="s">
        <v>12</v>
      </c>
      <c r="G340" s="17">
        <f t="shared" si="5"/>
        <v>1600</v>
      </c>
    </row>
    <row r="341" spans="1:7" x14ac:dyDescent="0.3">
      <c r="A341" s="4">
        <v>46097</v>
      </c>
      <c r="B341" s="3" t="s">
        <v>11</v>
      </c>
      <c r="C341" s="3" t="s">
        <v>7</v>
      </c>
      <c r="D341" s="14">
        <v>180</v>
      </c>
      <c r="E341" s="3">
        <v>2</v>
      </c>
      <c r="F341" s="3" t="s">
        <v>14</v>
      </c>
      <c r="G341" s="17">
        <f t="shared" si="5"/>
        <v>360</v>
      </c>
    </row>
    <row r="342" spans="1:7" x14ac:dyDescent="0.3">
      <c r="A342" s="4">
        <v>46097</v>
      </c>
      <c r="B342" s="3" t="s">
        <v>15</v>
      </c>
      <c r="C342" s="3" t="s">
        <v>10</v>
      </c>
      <c r="D342" s="14">
        <v>210</v>
      </c>
      <c r="E342" s="3">
        <v>3</v>
      </c>
      <c r="F342" s="3" t="s">
        <v>14</v>
      </c>
      <c r="G342" s="17">
        <f t="shared" si="5"/>
        <v>630</v>
      </c>
    </row>
    <row r="343" spans="1:7" x14ac:dyDescent="0.3">
      <c r="A343" s="4">
        <v>46097</v>
      </c>
      <c r="B343" s="3" t="s">
        <v>22</v>
      </c>
      <c r="C343" s="3" t="s">
        <v>10</v>
      </c>
      <c r="D343" s="14">
        <v>220</v>
      </c>
      <c r="E343" s="3">
        <v>4</v>
      </c>
      <c r="F343" s="3" t="s">
        <v>14</v>
      </c>
      <c r="G343" s="17">
        <f t="shared" si="5"/>
        <v>880</v>
      </c>
    </row>
    <row r="344" spans="1:7" x14ac:dyDescent="0.3">
      <c r="A344" s="4">
        <v>46098</v>
      </c>
      <c r="B344" s="3" t="s">
        <v>6</v>
      </c>
      <c r="C344" s="3" t="s">
        <v>7</v>
      </c>
      <c r="D344" s="14">
        <v>150</v>
      </c>
      <c r="E344" s="3">
        <v>1</v>
      </c>
      <c r="F344" s="3" t="s">
        <v>12</v>
      </c>
      <c r="G344" s="17">
        <f t="shared" si="5"/>
        <v>150</v>
      </c>
    </row>
    <row r="345" spans="1:7" x14ac:dyDescent="0.3">
      <c r="A345" s="4">
        <v>46098</v>
      </c>
      <c r="B345" s="3" t="s">
        <v>13</v>
      </c>
      <c r="C345" s="3" t="s">
        <v>7</v>
      </c>
      <c r="D345" s="14">
        <v>280</v>
      </c>
      <c r="E345" s="3">
        <v>5</v>
      </c>
      <c r="F345" s="3" t="s">
        <v>14</v>
      </c>
      <c r="G345" s="17">
        <f t="shared" si="5"/>
        <v>1400</v>
      </c>
    </row>
    <row r="346" spans="1:7" x14ac:dyDescent="0.3">
      <c r="A346" s="4">
        <v>46098</v>
      </c>
      <c r="B346" s="3" t="s">
        <v>15</v>
      </c>
      <c r="C346" s="3" t="s">
        <v>10</v>
      </c>
      <c r="D346" s="14">
        <v>210</v>
      </c>
      <c r="E346" s="3">
        <v>3</v>
      </c>
      <c r="F346" s="3" t="s">
        <v>8</v>
      </c>
      <c r="G346" s="17">
        <f t="shared" si="5"/>
        <v>630</v>
      </c>
    </row>
    <row r="347" spans="1:7" x14ac:dyDescent="0.3">
      <c r="A347" s="4">
        <v>46098</v>
      </c>
      <c r="B347" s="3" t="s">
        <v>19</v>
      </c>
      <c r="C347" s="3" t="s">
        <v>7</v>
      </c>
      <c r="D347" s="14">
        <v>90</v>
      </c>
      <c r="E347" s="3">
        <v>2</v>
      </c>
      <c r="F347" s="3" t="s">
        <v>8</v>
      </c>
      <c r="G347" s="17">
        <f t="shared" si="5"/>
        <v>180</v>
      </c>
    </row>
    <row r="348" spans="1:7" x14ac:dyDescent="0.3">
      <c r="A348" s="4">
        <v>46099</v>
      </c>
      <c r="B348" s="3" t="s">
        <v>16</v>
      </c>
      <c r="C348" s="3" t="s">
        <v>10</v>
      </c>
      <c r="D348" s="14">
        <v>150</v>
      </c>
      <c r="E348" s="3">
        <v>2</v>
      </c>
      <c r="F348" s="3" t="s">
        <v>14</v>
      </c>
      <c r="G348" s="17">
        <f t="shared" si="5"/>
        <v>300</v>
      </c>
    </row>
    <row r="349" spans="1:7" x14ac:dyDescent="0.3">
      <c r="A349" s="4">
        <v>46099</v>
      </c>
      <c r="B349" s="3" t="s">
        <v>21</v>
      </c>
      <c r="C349" s="3" t="s">
        <v>7</v>
      </c>
      <c r="D349" s="14">
        <v>320</v>
      </c>
      <c r="E349" s="3">
        <v>3</v>
      </c>
      <c r="F349" s="3" t="s">
        <v>14</v>
      </c>
      <c r="G349" s="17">
        <f t="shared" si="5"/>
        <v>960</v>
      </c>
    </row>
    <row r="350" spans="1:7" x14ac:dyDescent="0.3">
      <c r="A350" s="4">
        <v>46099</v>
      </c>
      <c r="B350" s="3" t="s">
        <v>18</v>
      </c>
      <c r="C350" s="3" t="s">
        <v>7</v>
      </c>
      <c r="D350" s="14">
        <v>140</v>
      </c>
      <c r="E350" s="3">
        <v>5</v>
      </c>
      <c r="F350" s="3" t="s">
        <v>8</v>
      </c>
      <c r="G350" s="17">
        <f t="shared" si="5"/>
        <v>700</v>
      </c>
    </row>
    <row r="351" spans="1:7" x14ac:dyDescent="0.3">
      <c r="A351" s="4">
        <v>46100</v>
      </c>
      <c r="B351" s="3" t="s">
        <v>15</v>
      </c>
      <c r="C351" s="3" t="s">
        <v>10</v>
      </c>
      <c r="D351" s="14">
        <v>210</v>
      </c>
      <c r="E351" s="3">
        <v>2</v>
      </c>
      <c r="F351" s="3" t="s">
        <v>12</v>
      </c>
      <c r="G351" s="17">
        <f t="shared" si="5"/>
        <v>420</v>
      </c>
    </row>
    <row r="352" spans="1:7" x14ac:dyDescent="0.3">
      <c r="A352" s="4">
        <v>46100</v>
      </c>
      <c r="B352" s="3" t="s">
        <v>17</v>
      </c>
      <c r="C352" s="3" t="s">
        <v>10</v>
      </c>
      <c r="D352" s="14">
        <v>240</v>
      </c>
      <c r="E352" s="3">
        <v>3</v>
      </c>
      <c r="F352" s="3" t="s">
        <v>12</v>
      </c>
      <c r="G352" s="17">
        <f t="shared" si="5"/>
        <v>720</v>
      </c>
    </row>
    <row r="353" spans="1:7" x14ac:dyDescent="0.3">
      <c r="A353" s="4">
        <v>46100</v>
      </c>
      <c r="B353" s="3" t="s">
        <v>18</v>
      </c>
      <c r="C353" s="3" t="s">
        <v>7</v>
      </c>
      <c r="D353" s="14">
        <v>140</v>
      </c>
      <c r="E353" s="3">
        <v>2</v>
      </c>
      <c r="F353" s="3" t="s">
        <v>14</v>
      </c>
      <c r="G353" s="17">
        <f t="shared" si="5"/>
        <v>280</v>
      </c>
    </row>
    <row r="354" spans="1:7" x14ac:dyDescent="0.3">
      <c r="A354" s="4">
        <v>46100</v>
      </c>
      <c r="B354" s="3" t="s">
        <v>11</v>
      </c>
      <c r="C354" s="3" t="s">
        <v>7</v>
      </c>
      <c r="D354" s="14">
        <v>180</v>
      </c>
      <c r="E354" s="3">
        <v>3</v>
      </c>
      <c r="F354" s="3" t="s">
        <v>8</v>
      </c>
      <c r="G354" s="17">
        <f t="shared" si="5"/>
        <v>540</v>
      </c>
    </row>
    <row r="355" spans="1:7" x14ac:dyDescent="0.3">
      <c r="A355" s="4">
        <v>46100</v>
      </c>
      <c r="B355" s="3" t="s">
        <v>11</v>
      </c>
      <c r="C355" s="3" t="s">
        <v>7</v>
      </c>
      <c r="D355" s="14">
        <v>180</v>
      </c>
      <c r="E355" s="3">
        <v>2</v>
      </c>
      <c r="F355" s="3" t="s">
        <v>8</v>
      </c>
      <c r="G355" s="17">
        <f t="shared" si="5"/>
        <v>360</v>
      </c>
    </row>
    <row r="356" spans="1:7" x14ac:dyDescent="0.3">
      <c r="A356" s="4">
        <v>46100</v>
      </c>
      <c r="B356" s="3" t="s">
        <v>9</v>
      </c>
      <c r="C356" s="3" t="s">
        <v>10</v>
      </c>
      <c r="D356" s="14">
        <v>120</v>
      </c>
      <c r="E356" s="3">
        <v>3</v>
      </c>
      <c r="F356" s="3" t="s">
        <v>8</v>
      </c>
      <c r="G356" s="17">
        <f t="shared" si="5"/>
        <v>360</v>
      </c>
    </row>
    <row r="357" spans="1:7" x14ac:dyDescent="0.3">
      <c r="A357" s="4">
        <v>46101</v>
      </c>
      <c r="B357" s="3" t="s">
        <v>15</v>
      </c>
      <c r="C357" s="3" t="s">
        <v>10</v>
      </c>
      <c r="D357" s="14">
        <v>210</v>
      </c>
      <c r="E357" s="3">
        <v>3</v>
      </c>
      <c r="F357" s="3" t="s">
        <v>12</v>
      </c>
      <c r="G357" s="17">
        <f t="shared" si="5"/>
        <v>630</v>
      </c>
    </row>
    <row r="358" spans="1:7" x14ac:dyDescent="0.3">
      <c r="A358" s="4">
        <v>46101</v>
      </c>
      <c r="B358" s="3" t="s">
        <v>19</v>
      </c>
      <c r="C358" s="3" t="s">
        <v>7</v>
      </c>
      <c r="D358" s="14">
        <v>90</v>
      </c>
      <c r="E358" s="3">
        <v>1</v>
      </c>
      <c r="F358" s="3" t="s">
        <v>12</v>
      </c>
      <c r="G358" s="17">
        <f t="shared" si="5"/>
        <v>90</v>
      </c>
    </row>
    <row r="359" spans="1:7" x14ac:dyDescent="0.3">
      <c r="A359" s="4">
        <v>46101</v>
      </c>
      <c r="B359" s="3" t="s">
        <v>20</v>
      </c>
      <c r="C359" s="3" t="s">
        <v>10</v>
      </c>
      <c r="D359" s="14">
        <v>180</v>
      </c>
      <c r="E359" s="3">
        <v>4</v>
      </c>
      <c r="F359" s="3" t="s">
        <v>12</v>
      </c>
      <c r="G359" s="17">
        <f t="shared" si="5"/>
        <v>720</v>
      </c>
    </row>
    <row r="360" spans="1:7" x14ac:dyDescent="0.3">
      <c r="A360" s="4">
        <v>46101</v>
      </c>
      <c r="B360" s="3" t="s">
        <v>9</v>
      </c>
      <c r="C360" s="3" t="s">
        <v>10</v>
      </c>
      <c r="D360" s="14">
        <v>120</v>
      </c>
      <c r="E360" s="3">
        <v>1</v>
      </c>
      <c r="F360" s="3" t="s">
        <v>14</v>
      </c>
      <c r="G360" s="17">
        <f t="shared" si="5"/>
        <v>120</v>
      </c>
    </row>
    <row r="361" spans="1:7" x14ac:dyDescent="0.3">
      <c r="A361" s="4">
        <v>46101</v>
      </c>
      <c r="B361" s="3" t="s">
        <v>11</v>
      </c>
      <c r="C361" s="3" t="s">
        <v>7</v>
      </c>
      <c r="D361" s="14">
        <v>180</v>
      </c>
      <c r="E361" s="3">
        <v>2</v>
      </c>
      <c r="F361" s="3" t="s">
        <v>8</v>
      </c>
      <c r="G361" s="17">
        <f t="shared" si="5"/>
        <v>360</v>
      </c>
    </row>
    <row r="362" spans="1:7" x14ac:dyDescent="0.3">
      <c r="A362" s="4">
        <v>46102</v>
      </c>
      <c r="B362" s="3" t="s">
        <v>19</v>
      </c>
      <c r="C362" s="3" t="s">
        <v>7</v>
      </c>
      <c r="D362" s="14">
        <v>90</v>
      </c>
      <c r="E362" s="3">
        <v>4</v>
      </c>
      <c r="F362" s="3" t="s">
        <v>8</v>
      </c>
      <c r="G362" s="17">
        <f t="shared" si="5"/>
        <v>360</v>
      </c>
    </row>
    <row r="363" spans="1:7" x14ac:dyDescent="0.3">
      <c r="A363" s="4">
        <v>46102</v>
      </c>
      <c r="B363" s="3" t="s">
        <v>9</v>
      </c>
      <c r="C363" s="3" t="s">
        <v>10</v>
      </c>
      <c r="D363" s="14">
        <v>120</v>
      </c>
      <c r="E363" s="3">
        <v>3</v>
      </c>
      <c r="F363" s="3" t="s">
        <v>8</v>
      </c>
      <c r="G363" s="17">
        <f t="shared" si="5"/>
        <v>360</v>
      </c>
    </row>
    <row r="364" spans="1:7" x14ac:dyDescent="0.3">
      <c r="A364" s="4">
        <v>46103</v>
      </c>
      <c r="B364" s="3" t="s">
        <v>19</v>
      </c>
      <c r="C364" s="3" t="s">
        <v>7</v>
      </c>
      <c r="D364" s="14">
        <v>90</v>
      </c>
      <c r="E364" s="3">
        <v>2</v>
      </c>
      <c r="F364" s="3" t="s">
        <v>12</v>
      </c>
      <c r="G364" s="17">
        <f t="shared" si="5"/>
        <v>180</v>
      </c>
    </row>
    <row r="365" spans="1:7" x14ac:dyDescent="0.3">
      <c r="A365" s="4">
        <v>46103</v>
      </c>
      <c r="B365" s="3" t="s">
        <v>11</v>
      </c>
      <c r="C365" s="3" t="s">
        <v>7</v>
      </c>
      <c r="D365" s="14">
        <v>180</v>
      </c>
      <c r="E365" s="3">
        <v>5</v>
      </c>
      <c r="F365" s="3" t="s">
        <v>14</v>
      </c>
      <c r="G365" s="17">
        <f t="shared" si="5"/>
        <v>900</v>
      </c>
    </row>
    <row r="366" spans="1:7" x14ac:dyDescent="0.3">
      <c r="A366" s="4">
        <v>46103</v>
      </c>
      <c r="B366" s="3" t="s">
        <v>15</v>
      </c>
      <c r="C366" s="3" t="s">
        <v>10</v>
      </c>
      <c r="D366" s="14">
        <v>210</v>
      </c>
      <c r="E366" s="3">
        <v>5</v>
      </c>
      <c r="F366" s="3" t="s">
        <v>8</v>
      </c>
      <c r="G366" s="17">
        <f t="shared" si="5"/>
        <v>1050</v>
      </c>
    </row>
    <row r="367" spans="1:7" x14ac:dyDescent="0.3">
      <c r="A367" s="4">
        <v>46104</v>
      </c>
      <c r="B367" s="3" t="s">
        <v>22</v>
      </c>
      <c r="C367" s="3" t="s">
        <v>10</v>
      </c>
      <c r="D367" s="14">
        <v>220</v>
      </c>
      <c r="E367" s="3">
        <v>5</v>
      </c>
      <c r="F367" s="3" t="s">
        <v>12</v>
      </c>
      <c r="G367" s="17">
        <f t="shared" si="5"/>
        <v>1100</v>
      </c>
    </row>
    <row r="368" spans="1:7" x14ac:dyDescent="0.3">
      <c r="A368" s="4">
        <v>46104</v>
      </c>
      <c r="B368" s="3" t="s">
        <v>17</v>
      </c>
      <c r="C368" s="3" t="s">
        <v>10</v>
      </c>
      <c r="D368" s="14">
        <v>240</v>
      </c>
      <c r="E368" s="3">
        <v>3</v>
      </c>
      <c r="F368" s="3" t="s">
        <v>12</v>
      </c>
      <c r="G368" s="17">
        <f t="shared" si="5"/>
        <v>720</v>
      </c>
    </row>
    <row r="369" spans="1:7" x14ac:dyDescent="0.3">
      <c r="A369" s="4">
        <v>46104</v>
      </c>
      <c r="B369" s="3" t="s">
        <v>19</v>
      </c>
      <c r="C369" s="3" t="s">
        <v>7</v>
      </c>
      <c r="D369" s="14">
        <v>90</v>
      </c>
      <c r="E369" s="3">
        <v>1</v>
      </c>
      <c r="F369" s="3" t="s">
        <v>14</v>
      </c>
      <c r="G369" s="17">
        <f t="shared" si="5"/>
        <v>90</v>
      </c>
    </row>
    <row r="370" spans="1:7" x14ac:dyDescent="0.3">
      <c r="A370" s="4">
        <v>46104</v>
      </c>
      <c r="B370" s="3" t="s">
        <v>16</v>
      </c>
      <c r="C370" s="3" t="s">
        <v>10</v>
      </c>
      <c r="D370" s="14">
        <v>150</v>
      </c>
      <c r="E370" s="3">
        <v>2</v>
      </c>
      <c r="F370" s="3" t="s">
        <v>8</v>
      </c>
      <c r="G370" s="17">
        <f t="shared" si="5"/>
        <v>300</v>
      </c>
    </row>
    <row r="371" spans="1:7" x14ac:dyDescent="0.3">
      <c r="A371" s="4">
        <v>46104</v>
      </c>
      <c r="B371" s="3" t="s">
        <v>16</v>
      </c>
      <c r="C371" s="3" t="s">
        <v>10</v>
      </c>
      <c r="D371" s="14">
        <v>150</v>
      </c>
      <c r="E371" s="3">
        <v>3</v>
      </c>
      <c r="F371" s="3" t="s">
        <v>8</v>
      </c>
      <c r="G371" s="17">
        <f t="shared" si="5"/>
        <v>450</v>
      </c>
    </row>
    <row r="372" spans="1:7" x14ac:dyDescent="0.3">
      <c r="A372" s="4">
        <v>46104</v>
      </c>
      <c r="B372" s="3" t="s">
        <v>19</v>
      </c>
      <c r="C372" s="3" t="s">
        <v>7</v>
      </c>
      <c r="D372" s="14">
        <v>90</v>
      </c>
      <c r="E372" s="3">
        <v>3</v>
      </c>
      <c r="F372" s="3" t="s">
        <v>8</v>
      </c>
      <c r="G372" s="17">
        <f t="shared" si="5"/>
        <v>270</v>
      </c>
    </row>
    <row r="373" spans="1:7" x14ac:dyDescent="0.3">
      <c r="A373" s="4">
        <v>46105</v>
      </c>
      <c r="B373" s="3" t="s">
        <v>16</v>
      </c>
      <c r="C373" s="3" t="s">
        <v>10</v>
      </c>
      <c r="D373" s="14">
        <v>150</v>
      </c>
      <c r="E373" s="3">
        <v>5</v>
      </c>
      <c r="F373" s="3" t="s">
        <v>12</v>
      </c>
      <c r="G373" s="17">
        <f t="shared" si="5"/>
        <v>750</v>
      </c>
    </row>
    <row r="374" spans="1:7" x14ac:dyDescent="0.3">
      <c r="A374" s="4">
        <v>46105</v>
      </c>
      <c r="B374" s="3" t="s">
        <v>16</v>
      </c>
      <c r="C374" s="3" t="s">
        <v>10</v>
      </c>
      <c r="D374" s="14">
        <v>150</v>
      </c>
      <c r="E374" s="3">
        <v>5</v>
      </c>
      <c r="F374" s="3" t="s">
        <v>12</v>
      </c>
      <c r="G374" s="17">
        <f t="shared" si="5"/>
        <v>750</v>
      </c>
    </row>
    <row r="375" spans="1:7" x14ac:dyDescent="0.3">
      <c r="A375" s="4">
        <v>46105</v>
      </c>
      <c r="B375" s="3" t="s">
        <v>20</v>
      </c>
      <c r="C375" s="3" t="s">
        <v>10</v>
      </c>
      <c r="D375" s="14">
        <v>180</v>
      </c>
      <c r="E375" s="3">
        <v>5</v>
      </c>
      <c r="F375" s="3" t="s">
        <v>8</v>
      </c>
      <c r="G375" s="17">
        <f t="shared" si="5"/>
        <v>900</v>
      </c>
    </row>
    <row r="376" spans="1:7" x14ac:dyDescent="0.3">
      <c r="A376" s="4">
        <v>46105</v>
      </c>
      <c r="B376" s="3" t="s">
        <v>21</v>
      </c>
      <c r="C376" s="3" t="s">
        <v>7</v>
      </c>
      <c r="D376" s="14">
        <v>320</v>
      </c>
      <c r="E376" s="3">
        <v>2</v>
      </c>
      <c r="F376" s="3" t="s">
        <v>8</v>
      </c>
      <c r="G376" s="17">
        <f t="shared" si="5"/>
        <v>640</v>
      </c>
    </row>
    <row r="377" spans="1:7" x14ac:dyDescent="0.3">
      <c r="A377" s="4">
        <v>46106</v>
      </c>
      <c r="B377" s="3" t="s">
        <v>19</v>
      </c>
      <c r="C377" s="3" t="s">
        <v>7</v>
      </c>
      <c r="D377" s="14">
        <v>90</v>
      </c>
      <c r="E377" s="3">
        <v>4</v>
      </c>
      <c r="F377" s="3" t="s">
        <v>12</v>
      </c>
      <c r="G377" s="17">
        <f t="shared" si="5"/>
        <v>360</v>
      </c>
    </row>
    <row r="378" spans="1:7" x14ac:dyDescent="0.3">
      <c r="A378" s="4">
        <v>46106</v>
      </c>
      <c r="B378" s="3" t="s">
        <v>18</v>
      </c>
      <c r="C378" s="3" t="s">
        <v>7</v>
      </c>
      <c r="D378" s="14">
        <v>140</v>
      </c>
      <c r="E378" s="3">
        <v>5</v>
      </c>
      <c r="F378" s="3" t="s">
        <v>14</v>
      </c>
      <c r="G378" s="17">
        <f t="shared" si="5"/>
        <v>700</v>
      </c>
    </row>
    <row r="379" spans="1:7" x14ac:dyDescent="0.3">
      <c r="A379" s="4">
        <v>46106</v>
      </c>
      <c r="B379" s="3" t="s">
        <v>17</v>
      </c>
      <c r="C379" s="3" t="s">
        <v>10</v>
      </c>
      <c r="D379" s="14">
        <v>240</v>
      </c>
      <c r="E379" s="3">
        <v>1</v>
      </c>
      <c r="F379" s="3" t="s">
        <v>14</v>
      </c>
      <c r="G379" s="17">
        <f t="shared" si="5"/>
        <v>240</v>
      </c>
    </row>
    <row r="380" spans="1:7" x14ac:dyDescent="0.3">
      <c r="A380" s="4">
        <v>46106</v>
      </c>
      <c r="B380" s="3" t="s">
        <v>21</v>
      </c>
      <c r="C380" s="3" t="s">
        <v>7</v>
      </c>
      <c r="D380" s="14">
        <v>320</v>
      </c>
      <c r="E380" s="3">
        <v>3</v>
      </c>
      <c r="F380" s="3" t="s">
        <v>8</v>
      </c>
      <c r="G380" s="17">
        <f t="shared" si="5"/>
        <v>960</v>
      </c>
    </row>
    <row r="381" spans="1:7" x14ac:dyDescent="0.3">
      <c r="A381" s="4">
        <v>46107</v>
      </c>
      <c r="B381" s="3" t="s">
        <v>6</v>
      </c>
      <c r="C381" s="3" t="s">
        <v>7</v>
      </c>
      <c r="D381" s="14">
        <v>150</v>
      </c>
      <c r="E381" s="3">
        <v>4</v>
      </c>
      <c r="F381" s="3" t="s">
        <v>12</v>
      </c>
      <c r="G381" s="17">
        <f t="shared" si="5"/>
        <v>600</v>
      </c>
    </row>
    <row r="382" spans="1:7" x14ac:dyDescent="0.3">
      <c r="A382" s="4">
        <v>46107</v>
      </c>
      <c r="B382" s="3" t="s">
        <v>20</v>
      </c>
      <c r="C382" s="3" t="s">
        <v>10</v>
      </c>
      <c r="D382" s="14">
        <v>180</v>
      </c>
      <c r="E382" s="3">
        <v>2</v>
      </c>
      <c r="F382" s="3" t="s">
        <v>12</v>
      </c>
      <c r="G382" s="17">
        <f t="shared" si="5"/>
        <v>360</v>
      </c>
    </row>
    <row r="383" spans="1:7" x14ac:dyDescent="0.3">
      <c r="A383" s="4">
        <v>46107</v>
      </c>
      <c r="B383" s="3" t="s">
        <v>21</v>
      </c>
      <c r="C383" s="3" t="s">
        <v>7</v>
      </c>
      <c r="D383" s="14">
        <v>320</v>
      </c>
      <c r="E383" s="3">
        <v>1</v>
      </c>
      <c r="F383" s="3" t="s">
        <v>14</v>
      </c>
      <c r="G383" s="17">
        <f t="shared" si="5"/>
        <v>320</v>
      </c>
    </row>
    <row r="384" spans="1:7" x14ac:dyDescent="0.3">
      <c r="A384" s="4">
        <v>46107</v>
      </c>
      <c r="B384" s="3" t="s">
        <v>16</v>
      </c>
      <c r="C384" s="3" t="s">
        <v>10</v>
      </c>
      <c r="D384" s="14">
        <v>150</v>
      </c>
      <c r="E384" s="3">
        <v>1</v>
      </c>
      <c r="F384" s="3" t="s">
        <v>8</v>
      </c>
      <c r="G384" s="17">
        <f t="shared" si="5"/>
        <v>150</v>
      </c>
    </row>
    <row r="385" spans="1:7" x14ac:dyDescent="0.3">
      <c r="A385" s="4">
        <v>46108</v>
      </c>
      <c r="B385" s="3" t="s">
        <v>15</v>
      </c>
      <c r="C385" s="3" t="s">
        <v>10</v>
      </c>
      <c r="D385" s="14">
        <v>210</v>
      </c>
      <c r="E385" s="3">
        <v>1</v>
      </c>
      <c r="F385" s="3" t="s">
        <v>14</v>
      </c>
      <c r="G385" s="17">
        <f t="shared" si="5"/>
        <v>210</v>
      </c>
    </row>
    <row r="386" spans="1:7" x14ac:dyDescent="0.3">
      <c r="A386" s="4">
        <v>46108</v>
      </c>
      <c r="B386" s="3" t="s">
        <v>13</v>
      </c>
      <c r="C386" s="3" t="s">
        <v>7</v>
      </c>
      <c r="D386" s="14">
        <v>280</v>
      </c>
      <c r="E386" s="3">
        <v>2</v>
      </c>
      <c r="F386" s="3" t="s">
        <v>14</v>
      </c>
      <c r="G386" s="17">
        <f t="shared" ref="G386:G449" si="6">D386*E386</f>
        <v>560</v>
      </c>
    </row>
    <row r="387" spans="1:7" x14ac:dyDescent="0.3">
      <c r="A387" s="4">
        <v>46108</v>
      </c>
      <c r="B387" s="3" t="s">
        <v>21</v>
      </c>
      <c r="C387" s="3" t="s">
        <v>7</v>
      </c>
      <c r="D387" s="14">
        <v>320</v>
      </c>
      <c r="E387" s="3">
        <v>1</v>
      </c>
      <c r="F387" s="3" t="s">
        <v>14</v>
      </c>
      <c r="G387" s="17">
        <f t="shared" si="6"/>
        <v>320</v>
      </c>
    </row>
    <row r="388" spans="1:7" x14ac:dyDescent="0.3">
      <c r="A388" s="4">
        <v>46109</v>
      </c>
      <c r="B388" s="3" t="s">
        <v>6</v>
      </c>
      <c r="C388" s="3" t="s">
        <v>7</v>
      </c>
      <c r="D388" s="14">
        <v>150</v>
      </c>
      <c r="E388" s="3">
        <v>4</v>
      </c>
      <c r="F388" s="3" t="s">
        <v>12</v>
      </c>
      <c r="G388" s="17">
        <f t="shared" si="6"/>
        <v>600</v>
      </c>
    </row>
    <row r="389" spans="1:7" x14ac:dyDescent="0.3">
      <c r="A389" s="4">
        <v>46109</v>
      </c>
      <c r="B389" s="3" t="s">
        <v>20</v>
      </c>
      <c r="C389" s="3" t="s">
        <v>10</v>
      </c>
      <c r="D389" s="14">
        <v>180</v>
      </c>
      <c r="E389" s="3">
        <v>3</v>
      </c>
      <c r="F389" s="3" t="s">
        <v>12</v>
      </c>
      <c r="G389" s="17">
        <f t="shared" si="6"/>
        <v>540</v>
      </c>
    </row>
    <row r="390" spans="1:7" x14ac:dyDescent="0.3">
      <c r="A390" s="4">
        <v>46109</v>
      </c>
      <c r="B390" s="3" t="s">
        <v>16</v>
      </c>
      <c r="C390" s="3" t="s">
        <v>10</v>
      </c>
      <c r="D390" s="14">
        <v>150</v>
      </c>
      <c r="E390" s="3">
        <v>1</v>
      </c>
      <c r="F390" s="3" t="s">
        <v>8</v>
      </c>
      <c r="G390" s="17">
        <f t="shared" si="6"/>
        <v>150</v>
      </c>
    </row>
    <row r="391" spans="1:7" x14ac:dyDescent="0.3">
      <c r="A391" s="4">
        <v>46109</v>
      </c>
      <c r="B391" s="3" t="s">
        <v>13</v>
      </c>
      <c r="C391" s="3" t="s">
        <v>7</v>
      </c>
      <c r="D391" s="14">
        <v>280</v>
      </c>
      <c r="E391" s="3">
        <v>4</v>
      </c>
      <c r="F391" s="3" t="s">
        <v>8</v>
      </c>
      <c r="G391" s="17">
        <f t="shared" si="6"/>
        <v>1120</v>
      </c>
    </row>
    <row r="392" spans="1:7" x14ac:dyDescent="0.3">
      <c r="A392" s="4">
        <v>46109</v>
      </c>
      <c r="B392" s="3" t="s">
        <v>9</v>
      </c>
      <c r="C392" s="3" t="s">
        <v>10</v>
      </c>
      <c r="D392" s="14">
        <v>120</v>
      </c>
      <c r="E392" s="3">
        <v>3</v>
      </c>
      <c r="F392" s="3" t="s">
        <v>8</v>
      </c>
      <c r="G392" s="17">
        <f t="shared" si="6"/>
        <v>360</v>
      </c>
    </row>
    <row r="393" spans="1:7" x14ac:dyDescent="0.3">
      <c r="A393" s="4">
        <v>46110</v>
      </c>
      <c r="B393" s="3" t="s">
        <v>16</v>
      </c>
      <c r="C393" s="3" t="s">
        <v>10</v>
      </c>
      <c r="D393" s="14">
        <v>150</v>
      </c>
      <c r="E393" s="3">
        <v>4</v>
      </c>
      <c r="F393" s="3" t="s">
        <v>14</v>
      </c>
      <c r="G393" s="17">
        <f t="shared" si="6"/>
        <v>600</v>
      </c>
    </row>
    <row r="394" spans="1:7" x14ac:dyDescent="0.3">
      <c r="A394" s="4">
        <v>46110</v>
      </c>
      <c r="B394" s="3" t="s">
        <v>21</v>
      </c>
      <c r="C394" s="3" t="s">
        <v>7</v>
      </c>
      <c r="D394" s="14">
        <v>320</v>
      </c>
      <c r="E394" s="3">
        <v>3</v>
      </c>
      <c r="F394" s="3" t="s">
        <v>14</v>
      </c>
      <c r="G394" s="17">
        <f t="shared" si="6"/>
        <v>960</v>
      </c>
    </row>
    <row r="395" spans="1:7" x14ac:dyDescent="0.3">
      <c r="A395" s="4">
        <v>46110</v>
      </c>
      <c r="B395" s="3" t="s">
        <v>11</v>
      </c>
      <c r="C395" s="3" t="s">
        <v>7</v>
      </c>
      <c r="D395" s="14">
        <v>180</v>
      </c>
      <c r="E395" s="3">
        <v>3</v>
      </c>
      <c r="F395" s="3" t="s">
        <v>8</v>
      </c>
      <c r="G395" s="17">
        <f t="shared" si="6"/>
        <v>540</v>
      </c>
    </row>
    <row r="396" spans="1:7" x14ac:dyDescent="0.3">
      <c r="A396" s="4">
        <v>46110</v>
      </c>
      <c r="B396" s="3" t="s">
        <v>18</v>
      </c>
      <c r="C396" s="3" t="s">
        <v>7</v>
      </c>
      <c r="D396" s="14">
        <v>140</v>
      </c>
      <c r="E396" s="3">
        <v>2</v>
      </c>
      <c r="F396" s="3" t="s">
        <v>8</v>
      </c>
      <c r="G396" s="17">
        <f t="shared" si="6"/>
        <v>280</v>
      </c>
    </row>
    <row r="397" spans="1:7" x14ac:dyDescent="0.3">
      <c r="A397" s="4">
        <v>46110</v>
      </c>
      <c r="B397" s="3" t="s">
        <v>18</v>
      </c>
      <c r="C397" s="3" t="s">
        <v>7</v>
      </c>
      <c r="D397" s="14">
        <v>140</v>
      </c>
      <c r="E397" s="3">
        <v>3</v>
      </c>
      <c r="F397" s="3" t="s">
        <v>8</v>
      </c>
      <c r="G397" s="17">
        <f t="shared" si="6"/>
        <v>420</v>
      </c>
    </row>
    <row r="398" spans="1:7" x14ac:dyDescent="0.3">
      <c r="A398" s="4">
        <v>46111</v>
      </c>
      <c r="B398" s="3" t="s">
        <v>6</v>
      </c>
      <c r="C398" s="3" t="s">
        <v>7</v>
      </c>
      <c r="D398" s="14">
        <v>150</v>
      </c>
      <c r="E398" s="3">
        <v>1</v>
      </c>
      <c r="F398" s="3" t="s">
        <v>12</v>
      </c>
      <c r="G398" s="17">
        <f t="shared" si="6"/>
        <v>150</v>
      </c>
    </row>
    <row r="399" spans="1:7" x14ac:dyDescent="0.3">
      <c r="A399" s="4">
        <v>46111</v>
      </c>
      <c r="B399" s="3" t="s">
        <v>17</v>
      </c>
      <c r="C399" s="3" t="s">
        <v>10</v>
      </c>
      <c r="D399" s="14">
        <v>240</v>
      </c>
      <c r="E399" s="3">
        <v>1</v>
      </c>
      <c r="F399" s="3" t="s">
        <v>12</v>
      </c>
      <c r="G399" s="17">
        <f t="shared" si="6"/>
        <v>240</v>
      </c>
    </row>
    <row r="400" spans="1:7" x14ac:dyDescent="0.3">
      <c r="A400" s="4">
        <v>46111</v>
      </c>
      <c r="B400" s="3" t="s">
        <v>15</v>
      </c>
      <c r="C400" s="3" t="s">
        <v>10</v>
      </c>
      <c r="D400" s="14">
        <v>210</v>
      </c>
      <c r="E400" s="3">
        <v>1</v>
      </c>
      <c r="F400" s="3" t="s">
        <v>14</v>
      </c>
      <c r="G400" s="17">
        <f t="shared" si="6"/>
        <v>210</v>
      </c>
    </row>
    <row r="401" spans="1:7" x14ac:dyDescent="0.3">
      <c r="A401" s="4">
        <v>46111</v>
      </c>
      <c r="B401" s="3" t="s">
        <v>13</v>
      </c>
      <c r="C401" s="3" t="s">
        <v>7</v>
      </c>
      <c r="D401" s="14">
        <v>280</v>
      </c>
      <c r="E401" s="3">
        <v>5</v>
      </c>
      <c r="F401" s="3" t="s">
        <v>14</v>
      </c>
      <c r="G401" s="17">
        <f t="shared" si="6"/>
        <v>1400</v>
      </c>
    </row>
    <row r="402" spans="1:7" x14ac:dyDescent="0.3">
      <c r="A402" s="4">
        <v>46111</v>
      </c>
      <c r="B402" s="3" t="s">
        <v>20</v>
      </c>
      <c r="C402" s="3" t="s">
        <v>10</v>
      </c>
      <c r="D402" s="14">
        <v>180</v>
      </c>
      <c r="E402" s="3">
        <v>3</v>
      </c>
      <c r="F402" s="3" t="s">
        <v>8</v>
      </c>
      <c r="G402" s="17">
        <f t="shared" si="6"/>
        <v>540</v>
      </c>
    </row>
    <row r="403" spans="1:7" x14ac:dyDescent="0.3">
      <c r="A403" s="4">
        <v>46111</v>
      </c>
      <c r="B403" s="3" t="s">
        <v>20</v>
      </c>
      <c r="C403" s="3" t="s">
        <v>10</v>
      </c>
      <c r="D403" s="14">
        <v>180</v>
      </c>
      <c r="E403" s="3">
        <v>5</v>
      </c>
      <c r="F403" s="3" t="s">
        <v>8</v>
      </c>
      <c r="G403" s="17">
        <f t="shared" si="6"/>
        <v>900</v>
      </c>
    </row>
    <row r="404" spans="1:7" x14ac:dyDescent="0.3">
      <c r="A404" s="4">
        <v>46111</v>
      </c>
      <c r="B404" s="3" t="s">
        <v>22</v>
      </c>
      <c r="C404" s="3" t="s">
        <v>10</v>
      </c>
      <c r="D404" s="14">
        <v>220</v>
      </c>
      <c r="E404" s="3">
        <v>5</v>
      </c>
      <c r="F404" s="3" t="s">
        <v>8</v>
      </c>
      <c r="G404" s="17">
        <f t="shared" si="6"/>
        <v>1100</v>
      </c>
    </row>
    <row r="405" spans="1:7" x14ac:dyDescent="0.3">
      <c r="A405" s="4">
        <v>46112</v>
      </c>
      <c r="B405" s="3" t="s">
        <v>6</v>
      </c>
      <c r="C405" s="3" t="s">
        <v>7</v>
      </c>
      <c r="D405" s="14">
        <v>150</v>
      </c>
      <c r="E405" s="3">
        <v>5</v>
      </c>
      <c r="F405" s="3" t="s">
        <v>12</v>
      </c>
      <c r="G405" s="17">
        <f t="shared" si="6"/>
        <v>750</v>
      </c>
    </row>
    <row r="406" spans="1:7" x14ac:dyDescent="0.3">
      <c r="A406" s="4">
        <v>46112</v>
      </c>
      <c r="B406" s="3" t="s">
        <v>13</v>
      </c>
      <c r="C406" s="3" t="s">
        <v>7</v>
      </c>
      <c r="D406" s="14">
        <v>280</v>
      </c>
      <c r="E406" s="3">
        <v>4</v>
      </c>
      <c r="F406" s="3" t="s">
        <v>12</v>
      </c>
      <c r="G406" s="17">
        <f t="shared" si="6"/>
        <v>1120</v>
      </c>
    </row>
    <row r="407" spans="1:7" x14ac:dyDescent="0.3">
      <c r="A407" s="4">
        <v>46112</v>
      </c>
      <c r="B407" s="3" t="s">
        <v>13</v>
      </c>
      <c r="C407" s="3" t="s">
        <v>7</v>
      </c>
      <c r="D407" s="14">
        <v>280</v>
      </c>
      <c r="E407" s="3">
        <v>3</v>
      </c>
      <c r="F407" s="3" t="s">
        <v>12</v>
      </c>
      <c r="G407" s="17">
        <f t="shared" si="6"/>
        <v>840</v>
      </c>
    </row>
    <row r="408" spans="1:7" x14ac:dyDescent="0.3">
      <c r="A408" s="4">
        <v>46112</v>
      </c>
      <c r="B408" s="3" t="s">
        <v>20</v>
      </c>
      <c r="C408" s="3" t="s">
        <v>10</v>
      </c>
      <c r="D408" s="14">
        <v>180</v>
      </c>
      <c r="E408" s="3">
        <v>4</v>
      </c>
      <c r="F408" s="3" t="s">
        <v>14</v>
      </c>
      <c r="G408" s="17">
        <f t="shared" si="6"/>
        <v>720</v>
      </c>
    </row>
    <row r="409" spans="1:7" x14ac:dyDescent="0.3">
      <c r="A409" s="4">
        <v>46112</v>
      </c>
      <c r="B409" s="3" t="s">
        <v>22</v>
      </c>
      <c r="C409" s="3" t="s">
        <v>10</v>
      </c>
      <c r="D409" s="14">
        <v>220</v>
      </c>
      <c r="E409" s="3">
        <v>5</v>
      </c>
      <c r="F409" s="3" t="s">
        <v>14</v>
      </c>
      <c r="G409" s="17">
        <f t="shared" si="6"/>
        <v>1100</v>
      </c>
    </row>
    <row r="410" spans="1:7" x14ac:dyDescent="0.3">
      <c r="A410" s="4">
        <v>46112</v>
      </c>
      <c r="B410" s="3" t="s">
        <v>21</v>
      </c>
      <c r="C410" s="3" t="s">
        <v>7</v>
      </c>
      <c r="D410" s="14">
        <v>320</v>
      </c>
      <c r="E410" s="3">
        <v>1</v>
      </c>
      <c r="F410" s="3" t="s">
        <v>14</v>
      </c>
      <c r="G410" s="17">
        <f t="shared" si="6"/>
        <v>320</v>
      </c>
    </row>
    <row r="411" spans="1:7" x14ac:dyDescent="0.3">
      <c r="A411" s="4">
        <v>46112</v>
      </c>
      <c r="B411" s="3" t="s">
        <v>21</v>
      </c>
      <c r="C411" s="3" t="s">
        <v>7</v>
      </c>
      <c r="D411" s="14">
        <v>320</v>
      </c>
      <c r="E411" s="3">
        <v>2</v>
      </c>
      <c r="F411" s="3" t="s">
        <v>14</v>
      </c>
      <c r="G411" s="17">
        <f t="shared" si="6"/>
        <v>640</v>
      </c>
    </row>
    <row r="412" spans="1:7" x14ac:dyDescent="0.3">
      <c r="A412" s="4">
        <v>46112</v>
      </c>
      <c r="B412" s="3" t="s">
        <v>6</v>
      </c>
      <c r="C412" s="3" t="s">
        <v>7</v>
      </c>
      <c r="D412" s="14">
        <v>150</v>
      </c>
      <c r="E412" s="3">
        <v>2</v>
      </c>
      <c r="F412" s="3" t="s">
        <v>8</v>
      </c>
      <c r="G412" s="17">
        <f t="shared" si="6"/>
        <v>300</v>
      </c>
    </row>
    <row r="413" spans="1:7" x14ac:dyDescent="0.3">
      <c r="A413" s="4">
        <v>46112</v>
      </c>
      <c r="B413" s="3" t="s">
        <v>19</v>
      </c>
      <c r="C413" s="3" t="s">
        <v>7</v>
      </c>
      <c r="D413" s="14">
        <v>90</v>
      </c>
      <c r="E413" s="3">
        <v>1</v>
      </c>
      <c r="F413" s="3" t="s">
        <v>8</v>
      </c>
      <c r="G413" s="17">
        <f t="shared" si="6"/>
        <v>90</v>
      </c>
    </row>
    <row r="414" spans="1:7" x14ac:dyDescent="0.3">
      <c r="A414" s="4">
        <v>46112</v>
      </c>
      <c r="B414" s="3" t="s">
        <v>18</v>
      </c>
      <c r="C414" s="3" t="s">
        <v>7</v>
      </c>
      <c r="D414" s="14">
        <v>140</v>
      </c>
      <c r="E414" s="3">
        <v>1</v>
      </c>
      <c r="F414" s="3" t="s">
        <v>8</v>
      </c>
      <c r="G414" s="17">
        <f t="shared" si="6"/>
        <v>140</v>
      </c>
    </row>
    <row r="415" spans="1:7" x14ac:dyDescent="0.3">
      <c r="A415" s="4">
        <v>46113</v>
      </c>
      <c r="B415" s="3" t="s">
        <v>11</v>
      </c>
      <c r="C415" s="3" t="s">
        <v>7</v>
      </c>
      <c r="D415" s="14">
        <v>180</v>
      </c>
      <c r="E415" s="3">
        <v>2</v>
      </c>
      <c r="F415" s="3" t="s">
        <v>12</v>
      </c>
      <c r="G415" s="17">
        <f t="shared" si="6"/>
        <v>360</v>
      </c>
    </row>
    <row r="416" spans="1:7" x14ac:dyDescent="0.3">
      <c r="A416" s="4">
        <v>46113</v>
      </c>
      <c r="B416" s="3" t="s">
        <v>16</v>
      </c>
      <c r="C416" s="3" t="s">
        <v>10</v>
      </c>
      <c r="D416" s="14">
        <v>150</v>
      </c>
      <c r="E416" s="3">
        <v>3</v>
      </c>
      <c r="F416" s="3" t="s">
        <v>14</v>
      </c>
      <c r="G416" s="17">
        <f t="shared" si="6"/>
        <v>450</v>
      </c>
    </row>
    <row r="417" spans="1:7" x14ac:dyDescent="0.3">
      <c r="A417" s="4">
        <v>46114</v>
      </c>
      <c r="B417" s="3" t="s">
        <v>16</v>
      </c>
      <c r="C417" s="3" t="s">
        <v>10</v>
      </c>
      <c r="D417" s="14">
        <v>150</v>
      </c>
      <c r="E417" s="3">
        <v>2</v>
      </c>
      <c r="F417" s="3" t="s">
        <v>12</v>
      </c>
      <c r="G417" s="17">
        <f t="shared" si="6"/>
        <v>300</v>
      </c>
    </row>
    <row r="418" spans="1:7" x14ac:dyDescent="0.3">
      <c r="A418" s="4">
        <v>46114</v>
      </c>
      <c r="B418" s="3" t="s">
        <v>18</v>
      </c>
      <c r="C418" s="3" t="s">
        <v>7</v>
      </c>
      <c r="D418" s="14">
        <v>140</v>
      </c>
      <c r="E418" s="3">
        <v>4</v>
      </c>
      <c r="F418" s="3" t="s">
        <v>12</v>
      </c>
      <c r="G418" s="17">
        <f t="shared" si="6"/>
        <v>560</v>
      </c>
    </row>
    <row r="419" spans="1:7" x14ac:dyDescent="0.3">
      <c r="A419" s="4">
        <v>46114</v>
      </c>
      <c r="B419" s="3" t="s">
        <v>9</v>
      </c>
      <c r="C419" s="3" t="s">
        <v>10</v>
      </c>
      <c r="D419" s="14">
        <v>120</v>
      </c>
      <c r="E419" s="3">
        <v>1</v>
      </c>
      <c r="F419" s="3" t="s">
        <v>12</v>
      </c>
      <c r="G419" s="17">
        <f t="shared" si="6"/>
        <v>120</v>
      </c>
    </row>
    <row r="420" spans="1:7" x14ac:dyDescent="0.3">
      <c r="A420" s="4">
        <v>46114</v>
      </c>
      <c r="B420" s="3" t="s">
        <v>6</v>
      </c>
      <c r="C420" s="3" t="s">
        <v>7</v>
      </c>
      <c r="D420" s="14">
        <v>150</v>
      </c>
      <c r="E420" s="3">
        <v>4</v>
      </c>
      <c r="F420" s="3" t="s">
        <v>14</v>
      </c>
      <c r="G420" s="17">
        <f t="shared" si="6"/>
        <v>600</v>
      </c>
    </row>
    <row r="421" spans="1:7" x14ac:dyDescent="0.3">
      <c r="A421" s="4">
        <v>46114</v>
      </c>
      <c r="B421" s="3" t="s">
        <v>19</v>
      </c>
      <c r="C421" s="3" t="s">
        <v>7</v>
      </c>
      <c r="D421" s="14">
        <v>90</v>
      </c>
      <c r="E421" s="3">
        <v>4</v>
      </c>
      <c r="F421" s="3" t="s">
        <v>14</v>
      </c>
      <c r="G421" s="17">
        <f t="shared" si="6"/>
        <v>360</v>
      </c>
    </row>
    <row r="422" spans="1:7" x14ac:dyDescent="0.3">
      <c r="A422" s="4">
        <v>46114</v>
      </c>
      <c r="B422" s="3" t="s">
        <v>19</v>
      </c>
      <c r="C422" s="3" t="s">
        <v>7</v>
      </c>
      <c r="D422" s="14">
        <v>90</v>
      </c>
      <c r="E422" s="3">
        <v>1</v>
      </c>
      <c r="F422" s="3" t="s">
        <v>14</v>
      </c>
      <c r="G422" s="17">
        <f t="shared" si="6"/>
        <v>90</v>
      </c>
    </row>
    <row r="423" spans="1:7" x14ac:dyDescent="0.3">
      <c r="A423" s="4">
        <v>46114</v>
      </c>
      <c r="B423" s="3" t="s">
        <v>9</v>
      </c>
      <c r="C423" s="3" t="s">
        <v>10</v>
      </c>
      <c r="D423" s="14">
        <v>120</v>
      </c>
      <c r="E423" s="3">
        <v>1</v>
      </c>
      <c r="F423" s="3" t="s">
        <v>14</v>
      </c>
      <c r="G423" s="17">
        <f t="shared" si="6"/>
        <v>120</v>
      </c>
    </row>
    <row r="424" spans="1:7" x14ac:dyDescent="0.3">
      <c r="A424" s="4">
        <v>46114</v>
      </c>
      <c r="B424" s="3" t="s">
        <v>16</v>
      </c>
      <c r="C424" s="3" t="s">
        <v>10</v>
      </c>
      <c r="D424" s="14">
        <v>150</v>
      </c>
      <c r="E424" s="3">
        <v>3</v>
      </c>
      <c r="F424" s="3" t="s">
        <v>8</v>
      </c>
      <c r="G424" s="17">
        <f t="shared" si="6"/>
        <v>450</v>
      </c>
    </row>
    <row r="425" spans="1:7" x14ac:dyDescent="0.3">
      <c r="A425" s="4">
        <v>46115</v>
      </c>
      <c r="B425" s="3" t="s">
        <v>13</v>
      </c>
      <c r="C425" s="3" t="s">
        <v>7</v>
      </c>
      <c r="D425" s="14">
        <v>280</v>
      </c>
      <c r="E425" s="3">
        <v>5</v>
      </c>
      <c r="F425" s="3" t="s">
        <v>12</v>
      </c>
      <c r="G425" s="17">
        <f t="shared" si="6"/>
        <v>1400</v>
      </c>
    </row>
    <row r="426" spans="1:7" x14ac:dyDescent="0.3">
      <c r="A426" s="4">
        <v>46115</v>
      </c>
      <c r="B426" s="3" t="s">
        <v>9</v>
      </c>
      <c r="C426" s="3" t="s">
        <v>10</v>
      </c>
      <c r="D426" s="14">
        <v>120</v>
      </c>
      <c r="E426" s="3">
        <v>4</v>
      </c>
      <c r="F426" s="3" t="s">
        <v>12</v>
      </c>
      <c r="G426" s="17">
        <f t="shared" si="6"/>
        <v>480</v>
      </c>
    </row>
    <row r="427" spans="1:7" x14ac:dyDescent="0.3">
      <c r="A427" s="4">
        <v>46115</v>
      </c>
      <c r="B427" s="3" t="s">
        <v>6</v>
      </c>
      <c r="C427" s="3" t="s">
        <v>7</v>
      </c>
      <c r="D427" s="14">
        <v>150</v>
      </c>
      <c r="E427" s="3">
        <v>2</v>
      </c>
      <c r="F427" s="3" t="s">
        <v>14</v>
      </c>
      <c r="G427" s="17">
        <f t="shared" si="6"/>
        <v>300</v>
      </c>
    </row>
    <row r="428" spans="1:7" x14ac:dyDescent="0.3">
      <c r="A428" s="4">
        <v>46115</v>
      </c>
      <c r="B428" s="3" t="s">
        <v>21</v>
      </c>
      <c r="C428" s="3" t="s">
        <v>7</v>
      </c>
      <c r="D428" s="14">
        <v>320</v>
      </c>
      <c r="E428" s="3">
        <v>3</v>
      </c>
      <c r="F428" s="3" t="s">
        <v>14</v>
      </c>
      <c r="G428" s="17">
        <f t="shared" si="6"/>
        <v>960</v>
      </c>
    </row>
    <row r="429" spans="1:7" x14ac:dyDescent="0.3">
      <c r="A429" s="4">
        <v>46116</v>
      </c>
      <c r="B429" s="3" t="s">
        <v>16</v>
      </c>
      <c r="C429" s="3" t="s">
        <v>10</v>
      </c>
      <c r="D429" s="14">
        <v>150</v>
      </c>
      <c r="E429" s="3">
        <v>3</v>
      </c>
      <c r="F429" s="3" t="s">
        <v>12</v>
      </c>
      <c r="G429" s="17">
        <f t="shared" si="6"/>
        <v>450</v>
      </c>
    </row>
    <row r="430" spans="1:7" x14ac:dyDescent="0.3">
      <c r="A430" s="4">
        <v>46116</v>
      </c>
      <c r="B430" s="3" t="s">
        <v>19</v>
      </c>
      <c r="C430" s="3" t="s">
        <v>7</v>
      </c>
      <c r="D430" s="14">
        <v>90</v>
      </c>
      <c r="E430" s="3">
        <v>1</v>
      </c>
      <c r="F430" s="3" t="s">
        <v>12</v>
      </c>
      <c r="G430" s="17">
        <f t="shared" si="6"/>
        <v>90</v>
      </c>
    </row>
    <row r="431" spans="1:7" x14ac:dyDescent="0.3">
      <c r="A431" s="4">
        <v>46116</v>
      </c>
      <c r="B431" s="3" t="s">
        <v>21</v>
      </c>
      <c r="C431" s="3" t="s">
        <v>7</v>
      </c>
      <c r="D431" s="14">
        <v>320</v>
      </c>
      <c r="E431" s="3">
        <v>1</v>
      </c>
      <c r="F431" s="3" t="s">
        <v>12</v>
      </c>
      <c r="G431" s="17">
        <f t="shared" si="6"/>
        <v>320</v>
      </c>
    </row>
    <row r="432" spans="1:7" x14ac:dyDescent="0.3">
      <c r="A432" s="4">
        <v>46116</v>
      </c>
      <c r="B432" s="3" t="s">
        <v>13</v>
      </c>
      <c r="C432" s="3" t="s">
        <v>7</v>
      </c>
      <c r="D432" s="14">
        <v>280</v>
      </c>
      <c r="E432" s="3">
        <v>3</v>
      </c>
      <c r="F432" s="3" t="s">
        <v>14</v>
      </c>
      <c r="G432" s="17">
        <f t="shared" si="6"/>
        <v>840</v>
      </c>
    </row>
    <row r="433" spans="1:7" x14ac:dyDescent="0.3">
      <c r="A433" s="4">
        <v>46116</v>
      </c>
      <c r="B433" s="3" t="s">
        <v>19</v>
      </c>
      <c r="C433" s="3" t="s">
        <v>7</v>
      </c>
      <c r="D433" s="14">
        <v>90</v>
      </c>
      <c r="E433" s="3">
        <v>2</v>
      </c>
      <c r="F433" s="3" t="s">
        <v>8</v>
      </c>
      <c r="G433" s="17">
        <f t="shared" si="6"/>
        <v>180</v>
      </c>
    </row>
    <row r="434" spans="1:7" x14ac:dyDescent="0.3">
      <c r="A434" s="4">
        <v>46117</v>
      </c>
      <c r="B434" s="3" t="s">
        <v>11</v>
      </c>
      <c r="C434" s="3" t="s">
        <v>7</v>
      </c>
      <c r="D434" s="14">
        <v>180</v>
      </c>
      <c r="E434" s="3">
        <v>3</v>
      </c>
      <c r="F434" s="3" t="s">
        <v>12</v>
      </c>
      <c r="G434" s="17">
        <f t="shared" si="6"/>
        <v>540</v>
      </c>
    </row>
    <row r="435" spans="1:7" x14ac:dyDescent="0.3">
      <c r="A435" s="4">
        <v>46117</v>
      </c>
      <c r="B435" s="3" t="s">
        <v>15</v>
      </c>
      <c r="C435" s="3" t="s">
        <v>10</v>
      </c>
      <c r="D435" s="14">
        <v>210</v>
      </c>
      <c r="E435" s="3">
        <v>3</v>
      </c>
      <c r="F435" s="3" t="s">
        <v>12</v>
      </c>
      <c r="G435" s="17">
        <f t="shared" si="6"/>
        <v>630</v>
      </c>
    </row>
    <row r="436" spans="1:7" x14ac:dyDescent="0.3">
      <c r="A436" s="4">
        <v>46117</v>
      </c>
      <c r="B436" s="3" t="s">
        <v>9</v>
      </c>
      <c r="C436" s="3" t="s">
        <v>10</v>
      </c>
      <c r="D436" s="14">
        <v>120</v>
      </c>
      <c r="E436" s="3">
        <v>3</v>
      </c>
      <c r="F436" s="3" t="s">
        <v>12</v>
      </c>
      <c r="G436" s="17">
        <f t="shared" si="6"/>
        <v>360</v>
      </c>
    </row>
    <row r="437" spans="1:7" x14ac:dyDescent="0.3">
      <c r="A437" s="4">
        <v>46117</v>
      </c>
      <c r="B437" s="3" t="s">
        <v>20</v>
      </c>
      <c r="C437" s="3" t="s">
        <v>10</v>
      </c>
      <c r="D437" s="14">
        <v>180</v>
      </c>
      <c r="E437" s="3">
        <v>2</v>
      </c>
      <c r="F437" s="3" t="s">
        <v>12</v>
      </c>
      <c r="G437" s="17">
        <f t="shared" si="6"/>
        <v>360</v>
      </c>
    </row>
    <row r="438" spans="1:7" x14ac:dyDescent="0.3">
      <c r="A438" s="4">
        <v>46117</v>
      </c>
      <c r="B438" s="3" t="s">
        <v>22</v>
      </c>
      <c r="C438" s="3" t="s">
        <v>10</v>
      </c>
      <c r="D438" s="14">
        <v>220</v>
      </c>
      <c r="E438" s="3">
        <v>5</v>
      </c>
      <c r="F438" s="3" t="s">
        <v>14</v>
      </c>
      <c r="G438" s="17">
        <f t="shared" si="6"/>
        <v>1100</v>
      </c>
    </row>
    <row r="439" spans="1:7" x14ac:dyDescent="0.3">
      <c r="A439" s="4">
        <v>46117</v>
      </c>
      <c r="B439" s="3" t="s">
        <v>6</v>
      </c>
      <c r="C439" s="3" t="s">
        <v>7</v>
      </c>
      <c r="D439" s="14">
        <v>150</v>
      </c>
      <c r="E439" s="3">
        <v>5</v>
      </c>
      <c r="F439" s="3" t="s">
        <v>8</v>
      </c>
      <c r="G439" s="17">
        <f t="shared" si="6"/>
        <v>750</v>
      </c>
    </row>
    <row r="440" spans="1:7" x14ac:dyDescent="0.3">
      <c r="A440" s="4">
        <v>46118</v>
      </c>
      <c r="B440" s="3" t="s">
        <v>17</v>
      </c>
      <c r="C440" s="3" t="s">
        <v>10</v>
      </c>
      <c r="D440" s="14">
        <v>240</v>
      </c>
      <c r="E440" s="3">
        <v>3</v>
      </c>
      <c r="F440" s="3" t="s">
        <v>12</v>
      </c>
      <c r="G440" s="17">
        <f t="shared" si="6"/>
        <v>720</v>
      </c>
    </row>
    <row r="441" spans="1:7" x14ac:dyDescent="0.3">
      <c r="A441" s="4">
        <v>46118</v>
      </c>
      <c r="B441" s="3" t="s">
        <v>19</v>
      </c>
      <c r="C441" s="3" t="s">
        <v>7</v>
      </c>
      <c r="D441" s="14">
        <v>90</v>
      </c>
      <c r="E441" s="3">
        <v>4</v>
      </c>
      <c r="F441" s="3" t="s">
        <v>14</v>
      </c>
      <c r="G441" s="17">
        <f t="shared" si="6"/>
        <v>360</v>
      </c>
    </row>
    <row r="442" spans="1:7" x14ac:dyDescent="0.3">
      <c r="A442" s="4">
        <v>46118</v>
      </c>
      <c r="B442" s="3" t="s">
        <v>17</v>
      </c>
      <c r="C442" s="3" t="s">
        <v>10</v>
      </c>
      <c r="D442" s="14">
        <v>240</v>
      </c>
      <c r="E442" s="3">
        <v>5</v>
      </c>
      <c r="F442" s="3" t="s">
        <v>14</v>
      </c>
      <c r="G442" s="17">
        <f t="shared" si="6"/>
        <v>1200</v>
      </c>
    </row>
    <row r="443" spans="1:7" x14ac:dyDescent="0.3">
      <c r="A443" s="4">
        <v>46119</v>
      </c>
      <c r="B443" s="3" t="s">
        <v>13</v>
      </c>
      <c r="C443" s="3" t="s">
        <v>7</v>
      </c>
      <c r="D443" s="14">
        <v>280</v>
      </c>
      <c r="E443" s="3">
        <v>2</v>
      </c>
      <c r="F443" s="3" t="s">
        <v>12</v>
      </c>
      <c r="G443" s="17">
        <f t="shared" si="6"/>
        <v>560</v>
      </c>
    </row>
    <row r="444" spans="1:7" x14ac:dyDescent="0.3">
      <c r="A444" s="4">
        <v>46119</v>
      </c>
      <c r="B444" s="3" t="s">
        <v>13</v>
      </c>
      <c r="C444" s="3" t="s">
        <v>7</v>
      </c>
      <c r="D444" s="14">
        <v>280</v>
      </c>
      <c r="E444" s="3">
        <v>1</v>
      </c>
      <c r="F444" s="3" t="s">
        <v>14</v>
      </c>
      <c r="G444" s="17">
        <f t="shared" si="6"/>
        <v>280</v>
      </c>
    </row>
    <row r="445" spans="1:7" x14ac:dyDescent="0.3">
      <c r="A445" s="4">
        <v>46119</v>
      </c>
      <c r="B445" s="3" t="s">
        <v>9</v>
      </c>
      <c r="C445" s="3" t="s">
        <v>10</v>
      </c>
      <c r="D445" s="14">
        <v>120</v>
      </c>
      <c r="E445" s="3">
        <v>3</v>
      </c>
      <c r="F445" s="3" t="s">
        <v>8</v>
      </c>
      <c r="G445" s="17">
        <f t="shared" si="6"/>
        <v>360</v>
      </c>
    </row>
    <row r="446" spans="1:7" x14ac:dyDescent="0.3">
      <c r="A446" s="4">
        <v>46119</v>
      </c>
      <c r="B446" s="3" t="s">
        <v>9</v>
      </c>
      <c r="C446" s="3" t="s">
        <v>10</v>
      </c>
      <c r="D446" s="14">
        <v>120</v>
      </c>
      <c r="E446" s="3">
        <v>4</v>
      </c>
      <c r="F446" s="3" t="s">
        <v>8</v>
      </c>
      <c r="G446" s="17">
        <f t="shared" si="6"/>
        <v>480</v>
      </c>
    </row>
    <row r="447" spans="1:7" x14ac:dyDescent="0.3">
      <c r="A447" s="4">
        <v>46120</v>
      </c>
      <c r="B447" s="3" t="s">
        <v>15</v>
      </c>
      <c r="C447" s="3" t="s">
        <v>10</v>
      </c>
      <c r="D447" s="14">
        <v>210</v>
      </c>
      <c r="E447" s="3">
        <v>5</v>
      </c>
      <c r="F447" s="3" t="s">
        <v>12</v>
      </c>
      <c r="G447" s="17">
        <f t="shared" si="6"/>
        <v>1050</v>
      </c>
    </row>
    <row r="448" spans="1:7" x14ac:dyDescent="0.3">
      <c r="A448" s="4">
        <v>46120</v>
      </c>
      <c r="B448" s="3" t="s">
        <v>19</v>
      </c>
      <c r="C448" s="3" t="s">
        <v>7</v>
      </c>
      <c r="D448" s="14">
        <v>90</v>
      </c>
      <c r="E448" s="3">
        <v>2</v>
      </c>
      <c r="F448" s="3" t="s">
        <v>12</v>
      </c>
      <c r="G448" s="17">
        <f t="shared" si="6"/>
        <v>180</v>
      </c>
    </row>
    <row r="449" spans="1:7" x14ac:dyDescent="0.3">
      <c r="A449" s="4">
        <v>46120</v>
      </c>
      <c r="B449" s="3" t="s">
        <v>17</v>
      </c>
      <c r="C449" s="3" t="s">
        <v>10</v>
      </c>
      <c r="D449" s="14">
        <v>240</v>
      </c>
      <c r="E449" s="3">
        <v>1</v>
      </c>
      <c r="F449" s="3" t="s">
        <v>12</v>
      </c>
      <c r="G449" s="17">
        <f t="shared" si="6"/>
        <v>240</v>
      </c>
    </row>
    <row r="450" spans="1:7" x14ac:dyDescent="0.3">
      <c r="A450" s="4">
        <v>46120</v>
      </c>
      <c r="B450" s="3" t="s">
        <v>17</v>
      </c>
      <c r="C450" s="3" t="s">
        <v>10</v>
      </c>
      <c r="D450" s="14">
        <v>240</v>
      </c>
      <c r="E450" s="3">
        <v>2</v>
      </c>
      <c r="F450" s="3" t="s">
        <v>12</v>
      </c>
      <c r="G450" s="17">
        <f t="shared" ref="G450:G501" si="7">D450*E450</f>
        <v>480</v>
      </c>
    </row>
    <row r="451" spans="1:7" x14ac:dyDescent="0.3">
      <c r="A451" s="4">
        <v>46120</v>
      </c>
      <c r="B451" s="3" t="s">
        <v>19</v>
      </c>
      <c r="C451" s="3" t="s">
        <v>7</v>
      </c>
      <c r="D451" s="14">
        <v>90</v>
      </c>
      <c r="E451" s="3">
        <v>4</v>
      </c>
      <c r="F451" s="3" t="s">
        <v>14</v>
      </c>
      <c r="G451" s="17">
        <f t="shared" si="7"/>
        <v>360</v>
      </c>
    </row>
    <row r="452" spans="1:7" x14ac:dyDescent="0.3">
      <c r="A452" s="4">
        <v>46120</v>
      </c>
      <c r="B452" s="3" t="s">
        <v>22</v>
      </c>
      <c r="C452" s="3" t="s">
        <v>10</v>
      </c>
      <c r="D452" s="14">
        <v>220</v>
      </c>
      <c r="E452" s="3">
        <v>3</v>
      </c>
      <c r="F452" s="3" t="s">
        <v>14</v>
      </c>
      <c r="G452" s="17">
        <f t="shared" si="7"/>
        <v>660</v>
      </c>
    </row>
    <row r="453" spans="1:7" x14ac:dyDescent="0.3">
      <c r="A453" s="4">
        <v>46121</v>
      </c>
      <c r="B453" s="3" t="s">
        <v>20</v>
      </c>
      <c r="C453" s="3" t="s">
        <v>10</v>
      </c>
      <c r="D453" s="14">
        <v>180</v>
      </c>
      <c r="E453" s="3">
        <v>2</v>
      </c>
      <c r="F453" s="3" t="s">
        <v>12</v>
      </c>
      <c r="G453" s="17">
        <f t="shared" si="7"/>
        <v>360</v>
      </c>
    </row>
    <row r="454" spans="1:7" x14ac:dyDescent="0.3">
      <c r="A454" s="4">
        <v>46121</v>
      </c>
      <c r="B454" s="3" t="s">
        <v>17</v>
      </c>
      <c r="C454" s="3" t="s">
        <v>10</v>
      </c>
      <c r="D454" s="14">
        <v>240</v>
      </c>
      <c r="E454" s="3">
        <v>5</v>
      </c>
      <c r="F454" s="3" t="s">
        <v>12</v>
      </c>
      <c r="G454" s="17">
        <f t="shared" si="7"/>
        <v>1200</v>
      </c>
    </row>
    <row r="455" spans="1:7" x14ac:dyDescent="0.3">
      <c r="A455" s="4">
        <v>46121</v>
      </c>
      <c r="B455" s="3" t="s">
        <v>6</v>
      </c>
      <c r="C455" s="3" t="s">
        <v>7</v>
      </c>
      <c r="D455" s="14">
        <v>150</v>
      </c>
      <c r="E455" s="3">
        <v>4</v>
      </c>
      <c r="F455" s="3" t="s">
        <v>8</v>
      </c>
      <c r="G455" s="17">
        <f t="shared" si="7"/>
        <v>600</v>
      </c>
    </row>
    <row r="456" spans="1:7" x14ac:dyDescent="0.3">
      <c r="A456" s="4">
        <v>46121</v>
      </c>
      <c r="B456" s="3" t="s">
        <v>9</v>
      </c>
      <c r="C456" s="3" t="s">
        <v>10</v>
      </c>
      <c r="D456" s="14">
        <v>120</v>
      </c>
      <c r="E456" s="3">
        <v>3</v>
      </c>
      <c r="F456" s="3" t="s">
        <v>8</v>
      </c>
      <c r="G456" s="17">
        <f t="shared" si="7"/>
        <v>360</v>
      </c>
    </row>
    <row r="457" spans="1:7" x14ac:dyDescent="0.3">
      <c r="A457" s="4">
        <v>46121</v>
      </c>
      <c r="B457" s="3" t="s">
        <v>17</v>
      </c>
      <c r="C457" s="3" t="s">
        <v>10</v>
      </c>
      <c r="D457" s="14">
        <v>240</v>
      </c>
      <c r="E457" s="3">
        <v>2</v>
      </c>
      <c r="F457" s="3" t="s">
        <v>8</v>
      </c>
      <c r="G457" s="17">
        <f t="shared" si="7"/>
        <v>480</v>
      </c>
    </row>
    <row r="458" spans="1:7" x14ac:dyDescent="0.3">
      <c r="A458" s="4">
        <v>46122</v>
      </c>
      <c r="B458" s="3" t="s">
        <v>11</v>
      </c>
      <c r="C458" s="3" t="s">
        <v>7</v>
      </c>
      <c r="D458" s="14">
        <v>180</v>
      </c>
      <c r="E458" s="3">
        <v>4</v>
      </c>
      <c r="F458" s="3" t="s">
        <v>12</v>
      </c>
      <c r="G458" s="17">
        <f t="shared" si="7"/>
        <v>720</v>
      </c>
    </row>
    <row r="459" spans="1:7" x14ac:dyDescent="0.3">
      <c r="A459" s="4">
        <v>46123</v>
      </c>
      <c r="B459" s="3" t="s">
        <v>20</v>
      </c>
      <c r="C459" s="3" t="s">
        <v>10</v>
      </c>
      <c r="D459" s="14">
        <v>180</v>
      </c>
      <c r="E459" s="3">
        <v>1</v>
      </c>
      <c r="F459" s="3" t="s">
        <v>12</v>
      </c>
      <c r="G459" s="17">
        <f t="shared" si="7"/>
        <v>180</v>
      </c>
    </row>
    <row r="460" spans="1:7" x14ac:dyDescent="0.3">
      <c r="A460" s="4">
        <v>46123</v>
      </c>
      <c r="B460" s="3" t="s">
        <v>17</v>
      </c>
      <c r="C460" s="3" t="s">
        <v>10</v>
      </c>
      <c r="D460" s="14">
        <v>240</v>
      </c>
      <c r="E460" s="3">
        <v>3</v>
      </c>
      <c r="F460" s="3" t="s">
        <v>12</v>
      </c>
      <c r="G460" s="17">
        <f t="shared" si="7"/>
        <v>720</v>
      </c>
    </row>
    <row r="461" spans="1:7" x14ac:dyDescent="0.3">
      <c r="A461" s="4">
        <v>46123</v>
      </c>
      <c r="B461" s="3" t="s">
        <v>18</v>
      </c>
      <c r="C461" s="3" t="s">
        <v>7</v>
      </c>
      <c r="D461" s="14">
        <v>140</v>
      </c>
      <c r="E461" s="3">
        <v>3</v>
      </c>
      <c r="F461" s="3" t="s">
        <v>8</v>
      </c>
      <c r="G461" s="17">
        <f t="shared" si="7"/>
        <v>420</v>
      </c>
    </row>
    <row r="462" spans="1:7" x14ac:dyDescent="0.3">
      <c r="A462" s="4">
        <v>46123</v>
      </c>
      <c r="B462" s="3" t="s">
        <v>9</v>
      </c>
      <c r="C462" s="3" t="s">
        <v>10</v>
      </c>
      <c r="D462" s="14">
        <v>120</v>
      </c>
      <c r="E462" s="3">
        <v>5</v>
      </c>
      <c r="F462" s="3" t="s">
        <v>8</v>
      </c>
      <c r="G462" s="17">
        <f t="shared" si="7"/>
        <v>600</v>
      </c>
    </row>
    <row r="463" spans="1:7" x14ac:dyDescent="0.3">
      <c r="A463" s="4">
        <v>46124</v>
      </c>
      <c r="B463" s="3" t="s">
        <v>11</v>
      </c>
      <c r="C463" s="3" t="s">
        <v>7</v>
      </c>
      <c r="D463" s="14">
        <v>180</v>
      </c>
      <c r="E463" s="3">
        <v>5</v>
      </c>
      <c r="F463" s="3" t="s">
        <v>12</v>
      </c>
      <c r="G463" s="17">
        <f t="shared" si="7"/>
        <v>900</v>
      </c>
    </row>
    <row r="464" spans="1:7" x14ac:dyDescent="0.3">
      <c r="A464" s="4">
        <v>46124</v>
      </c>
      <c r="B464" s="3" t="s">
        <v>6</v>
      </c>
      <c r="C464" s="3" t="s">
        <v>7</v>
      </c>
      <c r="D464" s="14">
        <v>150</v>
      </c>
      <c r="E464" s="3">
        <v>3</v>
      </c>
      <c r="F464" s="3" t="s">
        <v>12</v>
      </c>
      <c r="G464" s="17">
        <f t="shared" si="7"/>
        <v>450</v>
      </c>
    </row>
    <row r="465" spans="1:7" x14ac:dyDescent="0.3">
      <c r="A465" s="4">
        <v>46124</v>
      </c>
      <c r="B465" s="3" t="s">
        <v>15</v>
      </c>
      <c r="C465" s="3" t="s">
        <v>10</v>
      </c>
      <c r="D465" s="14">
        <v>210</v>
      </c>
      <c r="E465" s="3">
        <v>1</v>
      </c>
      <c r="F465" s="3" t="s">
        <v>8</v>
      </c>
      <c r="G465" s="17">
        <f t="shared" si="7"/>
        <v>210</v>
      </c>
    </row>
    <row r="466" spans="1:7" x14ac:dyDescent="0.3">
      <c r="A466" s="4">
        <v>46124</v>
      </c>
      <c r="B466" s="3" t="s">
        <v>17</v>
      </c>
      <c r="C466" s="3" t="s">
        <v>10</v>
      </c>
      <c r="D466" s="14">
        <v>240</v>
      </c>
      <c r="E466" s="3">
        <v>3</v>
      </c>
      <c r="F466" s="3" t="s">
        <v>8</v>
      </c>
      <c r="G466" s="17">
        <f t="shared" si="7"/>
        <v>720</v>
      </c>
    </row>
    <row r="467" spans="1:7" x14ac:dyDescent="0.3">
      <c r="A467" s="4">
        <v>46125</v>
      </c>
      <c r="B467" s="3" t="s">
        <v>19</v>
      </c>
      <c r="C467" s="3" t="s">
        <v>7</v>
      </c>
      <c r="D467" s="14">
        <v>90</v>
      </c>
      <c r="E467" s="3">
        <v>3</v>
      </c>
      <c r="F467" s="3" t="s">
        <v>12</v>
      </c>
      <c r="G467" s="17">
        <f t="shared" si="7"/>
        <v>270</v>
      </c>
    </row>
    <row r="468" spans="1:7" x14ac:dyDescent="0.3">
      <c r="A468" s="4">
        <v>46125</v>
      </c>
      <c r="B468" s="3" t="s">
        <v>20</v>
      </c>
      <c r="C468" s="3" t="s">
        <v>10</v>
      </c>
      <c r="D468" s="14">
        <v>180</v>
      </c>
      <c r="E468" s="3">
        <v>1</v>
      </c>
      <c r="F468" s="3" t="s">
        <v>12</v>
      </c>
      <c r="G468" s="17">
        <f t="shared" si="7"/>
        <v>180</v>
      </c>
    </row>
    <row r="469" spans="1:7" x14ac:dyDescent="0.3">
      <c r="A469" s="4">
        <v>46125</v>
      </c>
      <c r="B469" s="3" t="s">
        <v>17</v>
      </c>
      <c r="C469" s="3" t="s">
        <v>10</v>
      </c>
      <c r="D469" s="14">
        <v>240</v>
      </c>
      <c r="E469" s="3">
        <v>5</v>
      </c>
      <c r="F469" s="3" t="s">
        <v>14</v>
      </c>
      <c r="G469" s="17">
        <f t="shared" si="7"/>
        <v>1200</v>
      </c>
    </row>
    <row r="470" spans="1:7" x14ac:dyDescent="0.3">
      <c r="A470" s="4">
        <v>46126</v>
      </c>
      <c r="B470" s="3" t="s">
        <v>16</v>
      </c>
      <c r="C470" s="3" t="s">
        <v>10</v>
      </c>
      <c r="D470" s="14">
        <v>150</v>
      </c>
      <c r="E470" s="3">
        <v>1</v>
      </c>
      <c r="F470" s="3" t="s">
        <v>12</v>
      </c>
      <c r="G470" s="17">
        <f t="shared" si="7"/>
        <v>150</v>
      </c>
    </row>
    <row r="471" spans="1:7" x14ac:dyDescent="0.3">
      <c r="A471" s="4">
        <v>46126</v>
      </c>
      <c r="B471" s="3" t="s">
        <v>11</v>
      </c>
      <c r="C471" s="3" t="s">
        <v>7</v>
      </c>
      <c r="D471" s="14">
        <v>180</v>
      </c>
      <c r="E471" s="3">
        <v>3</v>
      </c>
      <c r="F471" s="3" t="s">
        <v>12</v>
      </c>
      <c r="G471" s="17">
        <f t="shared" si="7"/>
        <v>540</v>
      </c>
    </row>
    <row r="472" spans="1:7" x14ac:dyDescent="0.3">
      <c r="A472" s="4">
        <v>46126</v>
      </c>
      <c r="B472" s="3" t="s">
        <v>20</v>
      </c>
      <c r="C472" s="3" t="s">
        <v>10</v>
      </c>
      <c r="D472" s="14">
        <v>180</v>
      </c>
      <c r="E472" s="3">
        <v>3</v>
      </c>
      <c r="F472" s="3" t="s">
        <v>12</v>
      </c>
      <c r="G472" s="17">
        <f t="shared" si="7"/>
        <v>540</v>
      </c>
    </row>
    <row r="473" spans="1:7" x14ac:dyDescent="0.3">
      <c r="A473" s="4">
        <v>46126</v>
      </c>
      <c r="B473" s="3" t="s">
        <v>17</v>
      </c>
      <c r="C473" s="3" t="s">
        <v>10</v>
      </c>
      <c r="D473" s="14">
        <v>240</v>
      </c>
      <c r="E473" s="3">
        <v>2</v>
      </c>
      <c r="F473" s="3" t="s">
        <v>12</v>
      </c>
      <c r="G473" s="17">
        <f t="shared" si="7"/>
        <v>480</v>
      </c>
    </row>
    <row r="474" spans="1:7" x14ac:dyDescent="0.3">
      <c r="A474" s="4">
        <v>46126</v>
      </c>
      <c r="B474" s="3" t="s">
        <v>16</v>
      </c>
      <c r="C474" s="3" t="s">
        <v>10</v>
      </c>
      <c r="D474" s="14">
        <v>150</v>
      </c>
      <c r="E474" s="3">
        <v>4</v>
      </c>
      <c r="F474" s="3" t="s">
        <v>14</v>
      </c>
      <c r="G474" s="17">
        <f t="shared" si="7"/>
        <v>600</v>
      </c>
    </row>
    <row r="475" spans="1:7" x14ac:dyDescent="0.3">
      <c r="A475" s="4">
        <v>46126</v>
      </c>
      <c r="B475" s="3" t="s">
        <v>22</v>
      </c>
      <c r="C475" s="3" t="s">
        <v>10</v>
      </c>
      <c r="D475" s="14">
        <v>220</v>
      </c>
      <c r="E475" s="3">
        <v>4</v>
      </c>
      <c r="F475" s="3" t="s">
        <v>14</v>
      </c>
      <c r="G475" s="17">
        <f t="shared" si="7"/>
        <v>880</v>
      </c>
    </row>
    <row r="476" spans="1:7" x14ac:dyDescent="0.3">
      <c r="A476" s="4">
        <v>46127</v>
      </c>
      <c r="B476" s="3" t="s">
        <v>22</v>
      </c>
      <c r="C476" s="3" t="s">
        <v>10</v>
      </c>
      <c r="D476" s="14">
        <v>220</v>
      </c>
      <c r="E476" s="3">
        <v>4</v>
      </c>
      <c r="F476" s="3" t="s">
        <v>12</v>
      </c>
      <c r="G476" s="17">
        <f t="shared" si="7"/>
        <v>880</v>
      </c>
    </row>
    <row r="477" spans="1:7" x14ac:dyDescent="0.3">
      <c r="A477" s="4">
        <v>46127</v>
      </c>
      <c r="B477" s="3" t="s">
        <v>21</v>
      </c>
      <c r="C477" s="3" t="s">
        <v>7</v>
      </c>
      <c r="D477" s="14">
        <v>320</v>
      </c>
      <c r="E477" s="3">
        <v>4</v>
      </c>
      <c r="F477" s="3" t="s">
        <v>12</v>
      </c>
      <c r="G477" s="17">
        <f t="shared" si="7"/>
        <v>1280</v>
      </c>
    </row>
    <row r="478" spans="1:7" x14ac:dyDescent="0.3">
      <c r="A478" s="4">
        <v>46127</v>
      </c>
      <c r="B478" s="3" t="s">
        <v>11</v>
      </c>
      <c r="C478" s="3" t="s">
        <v>7</v>
      </c>
      <c r="D478" s="14">
        <v>180</v>
      </c>
      <c r="E478" s="3">
        <v>3</v>
      </c>
      <c r="F478" s="3" t="s">
        <v>14</v>
      </c>
      <c r="G478" s="17">
        <f t="shared" si="7"/>
        <v>540</v>
      </c>
    </row>
    <row r="479" spans="1:7" x14ac:dyDescent="0.3">
      <c r="A479" s="4">
        <v>46127</v>
      </c>
      <c r="B479" s="3" t="s">
        <v>21</v>
      </c>
      <c r="C479" s="3" t="s">
        <v>7</v>
      </c>
      <c r="D479" s="14">
        <v>320</v>
      </c>
      <c r="E479" s="3">
        <v>3</v>
      </c>
      <c r="F479" s="3" t="s">
        <v>14</v>
      </c>
      <c r="G479" s="17">
        <f t="shared" si="7"/>
        <v>960</v>
      </c>
    </row>
    <row r="480" spans="1:7" x14ac:dyDescent="0.3">
      <c r="A480" s="4">
        <v>46128</v>
      </c>
      <c r="B480" s="3" t="s">
        <v>16</v>
      </c>
      <c r="C480" s="3" t="s">
        <v>10</v>
      </c>
      <c r="D480" s="14">
        <v>150</v>
      </c>
      <c r="E480" s="3">
        <v>4</v>
      </c>
      <c r="F480" s="3" t="s">
        <v>12</v>
      </c>
      <c r="G480" s="17">
        <f t="shared" si="7"/>
        <v>600</v>
      </c>
    </row>
    <row r="481" spans="1:7" x14ac:dyDescent="0.3">
      <c r="A481" s="4">
        <v>46128</v>
      </c>
      <c r="B481" s="3" t="s">
        <v>13</v>
      </c>
      <c r="C481" s="3" t="s">
        <v>7</v>
      </c>
      <c r="D481" s="14">
        <v>280</v>
      </c>
      <c r="E481" s="3">
        <v>1</v>
      </c>
      <c r="F481" s="3" t="s">
        <v>12</v>
      </c>
      <c r="G481" s="17">
        <f t="shared" si="7"/>
        <v>280</v>
      </c>
    </row>
    <row r="482" spans="1:7" x14ac:dyDescent="0.3">
      <c r="A482" s="4">
        <v>46128</v>
      </c>
      <c r="B482" s="3" t="s">
        <v>22</v>
      </c>
      <c r="C482" s="3" t="s">
        <v>10</v>
      </c>
      <c r="D482" s="14">
        <v>220</v>
      </c>
      <c r="E482" s="3">
        <v>3</v>
      </c>
      <c r="F482" s="3" t="s">
        <v>12</v>
      </c>
      <c r="G482" s="17">
        <f t="shared" si="7"/>
        <v>660</v>
      </c>
    </row>
    <row r="483" spans="1:7" x14ac:dyDescent="0.3">
      <c r="A483" s="4">
        <v>46128</v>
      </c>
      <c r="B483" s="3" t="s">
        <v>13</v>
      </c>
      <c r="C483" s="3" t="s">
        <v>7</v>
      </c>
      <c r="D483" s="14">
        <v>280</v>
      </c>
      <c r="E483" s="3">
        <v>2</v>
      </c>
      <c r="F483" s="3" t="s">
        <v>14</v>
      </c>
      <c r="G483" s="17">
        <f t="shared" si="7"/>
        <v>560</v>
      </c>
    </row>
    <row r="484" spans="1:7" x14ac:dyDescent="0.3">
      <c r="A484" s="4">
        <v>46128</v>
      </c>
      <c r="B484" s="3" t="s">
        <v>13</v>
      </c>
      <c r="C484" s="3" t="s">
        <v>7</v>
      </c>
      <c r="D484" s="14">
        <v>280</v>
      </c>
      <c r="E484" s="3">
        <v>4</v>
      </c>
      <c r="F484" s="3" t="s">
        <v>14</v>
      </c>
      <c r="G484" s="17">
        <f t="shared" si="7"/>
        <v>1120</v>
      </c>
    </row>
    <row r="485" spans="1:7" x14ac:dyDescent="0.3">
      <c r="A485" s="4">
        <v>46128</v>
      </c>
      <c r="B485" s="3" t="s">
        <v>22</v>
      </c>
      <c r="C485" s="3" t="s">
        <v>10</v>
      </c>
      <c r="D485" s="14">
        <v>220</v>
      </c>
      <c r="E485" s="3">
        <v>2</v>
      </c>
      <c r="F485" s="3" t="s">
        <v>8</v>
      </c>
      <c r="G485" s="17">
        <f t="shared" si="7"/>
        <v>440</v>
      </c>
    </row>
    <row r="486" spans="1:7" x14ac:dyDescent="0.3">
      <c r="A486" s="4">
        <v>46129</v>
      </c>
      <c r="B486" s="3" t="s">
        <v>16</v>
      </c>
      <c r="C486" s="3" t="s">
        <v>10</v>
      </c>
      <c r="D486" s="14">
        <v>150</v>
      </c>
      <c r="E486" s="3">
        <v>3</v>
      </c>
      <c r="F486" s="3" t="s">
        <v>12</v>
      </c>
      <c r="G486" s="17">
        <f t="shared" si="7"/>
        <v>450</v>
      </c>
    </row>
    <row r="487" spans="1:7" x14ac:dyDescent="0.3">
      <c r="A487" s="4">
        <v>46129</v>
      </c>
      <c r="B487" s="3" t="s">
        <v>9</v>
      </c>
      <c r="C487" s="3" t="s">
        <v>10</v>
      </c>
      <c r="D487" s="14">
        <v>120</v>
      </c>
      <c r="E487" s="3">
        <v>5</v>
      </c>
      <c r="F487" s="3" t="s">
        <v>12</v>
      </c>
      <c r="G487" s="17">
        <f t="shared" si="7"/>
        <v>600</v>
      </c>
    </row>
    <row r="488" spans="1:7" x14ac:dyDescent="0.3">
      <c r="A488" s="4">
        <v>46129</v>
      </c>
      <c r="B488" s="3" t="s">
        <v>21</v>
      </c>
      <c r="C488" s="3" t="s">
        <v>7</v>
      </c>
      <c r="D488" s="14">
        <v>320</v>
      </c>
      <c r="E488" s="3">
        <v>3</v>
      </c>
      <c r="F488" s="3" t="s">
        <v>14</v>
      </c>
      <c r="G488" s="17">
        <f t="shared" si="7"/>
        <v>960</v>
      </c>
    </row>
    <row r="489" spans="1:7" x14ac:dyDescent="0.3">
      <c r="A489" s="4">
        <v>46129</v>
      </c>
      <c r="B489" s="3" t="s">
        <v>9</v>
      </c>
      <c r="C489" s="3" t="s">
        <v>10</v>
      </c>
      <c r="D489" s="14">
        <v>120</v>
      </c>
      <c r="E489" s="3">
        <v>2</v>
      </c>
      <c r="F489" s="3" t="s">
        <v>8</v>
      </c>
      <c r="G489" s="17">
        <f t="shared" si="7"/>
        <v>240</v>
      </c>
    </row>
    <row r="490" spans="1:7" x14ac:dyDescent="0.3">
      <c r="A490" s="4">
        <v>46130</v>
      </c>
      <c r="B490" s="3" t="s">
        <v>19</v>
      </c>
      <c r="C490" s="3" t="s">
        <v>7</v>
      </c>
      <c r="D490" s="14">
        <v>90</v>
      </c>
      <c r="E490" s="3">
        <v>1</v>
      </c>
      <c r="F490" s="3" t="s">
        <v>12</v>
      </c>
      <c r="G490" s="17">
        <f t="shared" si="7"/>
        <v>90</v>
      </c>
    </row>
    <row r="491" spans="1:7" x14ac:dyDescent="0.3">
      <c r="A491" s="4">
        <v>46130</v>
      </c>
      <c r="B491" s="3" t="s">
        <v>20</v>
      </c>
      <c r="C491" s="3" t="s">
        <v>10</v>
      </c>
      <c r="D491" s="14">
        <v>180</v>
      </c>
      <c r="E491" s="3">
        <v>2</v>
      </c>
      <c r="F491" s="3" t="s">
        <v>14</v>
      </c>
      <c r="G491" s="17">
        <f t="shared" si="7"/>
        <v>360</v>
      </c>
    </row>
    <row r="492" spans="1:7" x14ac:dyDescent="0.3">
      <c r="A492" s="4">
        <v>46131</v>
      </c>
      <c r="B492" s="3" t="s">
        <v>19</v>
      </c>
      <c r="C492" s="3" t="s">
        <v>7</v>
      </c>
      <c r="D492" s="14">
        <v>90</v>
      </c>
      <c r="E492" s="3">
        <v>4</v>
      </c>
      <c r="F492" s="3" t="s">
        <v>12</v>
      </c>
      <c r="G492" s="17">
        <f t="shared" si="7"/>
        <v>360</v>
      </c>
    </row>
    <row r="493" spans="1:7" x14ac:dyDescent="0.3">
      <c r="A493" s="4">
        <v>46131</v>
      </c>
      <c r="B493" s="3" t="s">
        <v>16</v>
      </c>
      <c r="C493" s="3" t="s">
        <v>10</v>
      </c>
      <c r="D493" s="14">
        <v>150</v>
      </c>
      <c r="E493" s="3">
        <v>4</v>
      </c>
      <c r="F493" s="3" t="s">
        <v>14</v>
      </c>
      <c r="G493" s="17">
        <f t="shared" si="7"/>
        <v>600</v>
      </c>
    </row>
    <row r="494" spans="1:7" x14ac:dyDescent="0.3">
      <c r="A494" s="4">
        <v>46131</v>
      </c>
      <c r="B494" s="3" t="s">
        <v>6</v>
      </c>
      <c r="C494" s="3" t="s">
        <v>7</v>
      </c>
      <c r="D494" s="14">
        <v>150</v>
      </c>
      <c r="E494" s="3">
        <v>3</v>
      </c>
      <c r="F494" s="3" t="s">
        <v>14</v>
      </c>
      <c r="G494" s="17">
        <f t="shared" si="7"/>
        <v>450</v>
      </c>
    </row>
    <row r="495" spans="1:7" x14ac:dyDescent="0.3">
      <c r="A495" s="4">
        <v>46131</v>
      </c>
      <c r="B495" s="3" t="s">
        <v>21</v>
      </c>
      <c r="C495" s="3" t="s">
        <v>7</v>
      </c>
      <c r="D495" s="14">
        <v>320</v>
      </c>
      <c r="E495" s="3">
        <v>5</v>
      </c>
      <c r="F495" s="3" t="s">
        <v>14</v>
      </c>
      <c r="G495" s="17">
        <f t="shared" si="7"/>
        <v>1600</v>
      </c>
    </row>
    <row r="496" spans="1:7" x14ac:dyDescent="0.3">
      <c r="A496" s="4">
        <v>46131</v>
      </c>
      <c r="B496" s="3" t="s">
        <v>15</v>
      </c>
      <c r="C496" s="3" t="s">
        <v>10</v>
      </c>
      <c r="D496" s="14">
        <v>210</v>
      </c>
      <c r="E496" s="3">
        <v>3</v>
      </c>
      <c r="F496" s="3" t="s">
        <v>8</v>
      </c>
      <c r="G496" s="17">
        <f t="shared" si="7"/>
        <v>630</v>
      </c>
    </row>
    <row r="497" spans="1:7" x14ac:dyDescent="0.3">
      <c r="A497" s="4">
        <v>46131</v>
      </c>
      <c r="B497" s="3" t="s">
        <v>20</v>
      </c>
      <c r="C497" s="3" t="s">
        <v>10</v>
      </c>
      <c r="D497" s="14">
        <v>180</v>
      </c>
      <c r="E497" s="3">
        <v>5</v>
      </c>
      <c r="F497" s="3" t="s">
        <v>8</v>
      </c>
      <c r="G497" s="17">
        <f t="shared" si="7"/>
        <v>900</v>
      </c>
    </row>
    <row r="498" spans="1:7" x14ac:dyDescent="0.3">
      <c r="A498" s="4">
        <v>46131</v>
      </c>
      <c r="B498" s="3" t="s">
        <v>22</v>
      </c>
      <c r="C498" s="3" t="s">
        <v>10</v>
      </c>
      <c r="D498" s="14">
        <v>220</v>
      </c>
      <c r="E498" s="3">
        <v>5</v>
      </c>
      <c r="F498" s="3" t="s">
        <v>8</v>
      </c>
      <c r="G498" s="17">
        <f t="shared" si="7"/>
        <v>1100</v>
      </c>
    </row>
    <row r="499" spans="1:7" x14ac:dyDescent="0.3">
      <c r="A499" s="4">
        <v>46132</v>
      </c>
      <c r="B499" s="3" t="s">
        <v>6</v>
      </c>
      <c r="C499" s="3" t="s">
        <v>7</v>
      </c>
      <c r="D499" s="14">
        <v>150</v>
      </c>
      <c r="E499" s="3">
        <v>2</v>
      </c>
      <c r="F499" s="3" t="s">
        <v>12</v>
      </c>
      <c r="G499" s="17">
        <f t="shared" si="7"/>
        <v>300</v>
      </c>
    </row>
    <row r="500" spans="1:7" x14ac:dyDescent="0.3">
      <c r="A500" s="4">
        <v>46132</v>
      </c>
      <c r="B500" s="3" t="s">
        <v>22</v>
      </c>
      <c r="C500" s="3" t="s">
        <v>10</v>
      </c>
      <c r="D500" s="14">
        <v>220</v>
      </c>
      <c r="E500" s="3">
        <v>2</v>
      </c>
      <c r="F500" s="3" t="s">
        <v>12</v>
      </c>
      <c r="G500" s="17">
        <f t="shared" si="7"/>
        <v>440</v>
      </c>
    </row>
    <row r="501" spans="1:7" x14ac:dyDescent="0.3">
      <c r="A501" s="4">
        <v>46132</v>
      </c>
      <c r="B501" s="3" t="s">
        <v>16</v>
      </c>
      <c r="C501" s="3" t="s">
        <v>10</v>
      </c>
      <c r="D501" s="14">
        <v>150</v>
      </c>
      <c r="E501" s="3">
        <v>3</v>
      </c>
      <c r="F501" s="3" t="s">
        <v>14</v>
      </c>
      <c r="G501" s="17">
        <f t="shared" si="7"/>
        <v>450</v>
      </c>
    </row>
    <row r="502" spans="1:7" x14ac:dyDescent="0.3">
      <c r="F502" s="7" t="s">
        <v>28</v>
      </c>
      <c r="G502" s="18">
        <f>SUM(G2:G501)</f>
        <v>279130</v>
      </c>
    </row>
  </sheetData>
  <sortState xmlns:xlrd2="http://schemas.microsoft.com/office/spreadsheetml/2017/richdata2" ref="A2:G501">
    <sortCondition ref="A4:A501"/>
  </sortState>
  <dataValidations disablePrompts="1" count="3">
    <dataValidation type="list" allowBlank="1" showInputMessage="1" showErrorMessage="1" sqref="I4 M4" xr:uid="{F7CD7216-CF25-4AA4-A6E1-AFA34201DCB1}">
      <formula1>$B$2:$B$501</formula1>
    </dataValidation>
    <dataValidation type="list" allowBlank="1" showInputMessage="1" showErrorMessage="1" sqref="H476" xr:uid="{2D94983E-399D-4845-9EB3-7BEAE23DF19C}">
      <formula1>$B$476:$B$501</formula1>
    </dataValidation>
    <dataValidation type="list" allowBlank="1" showInputMessage="1" showErrorMessage="1" sqref="N4" xr:uid="{430D3047-BF51-4F3F-9B81-8DAFEEA02604}">
      <formula1>$F$2:$F$501</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FFE4B-49C0-4868-9CEF-9BBBF62B40C8}">
  <dimension ref="B1:I15"/>
  <sheetViews>
    <sheetView workbookViewId="0">
      <selection activeCell="O14" sqref="O14"/>
    </sheetView>
  </sheetViews>
  <sheetFormatPr defaultRowHeight="14.4" x14ac:dyDescent="0.3"/>
  <cols>
    <col min="1" max="1" width="14.77734375" bestFit="1" customWidth="1"/>
    <col min="2" max="2" width="12.5546875" bestFit="1" customWidth="1"/>
    <col min="3" max="3" width="12.109375" bestFit="1" customWidth="1"/>
    <col min="4" max="4" width="7" bestFit="1" customWidth="1"/>
    <col min="5" max="5" width="12.5546875" bestFit="1" customWidth="1"/>
    <col min="6" max="6" width="12.109375" bestFit="1" customWidth="1"/>
    <col min="8" max="8" width="14.77734375" bestFit="1" customWidth="1"/>
    <col min="9" max="9" width="12.109375" bestFit="1" customWidth="1"/>
    <col min="10" max="10" width="6" bestFit="1" customWidth="1"/>
    <col min="11" max="11" width="12" bestFit="1" customWidth="1"/>
    <col min="12" max="12" width="10.77734375" bestFit="1" customWidth="1"/>
    <col min="13" max="13" width="7.21875" bestFit="1" customWidth="1"/>
    <col min="14" max="14" width="6" bestFit="1" customWidth="1"/>
    <col min="15" max="15" width="12" bestFit="1" customWidth="1"/>
    <col min="16" max="16" width="9.88671875" bestFit="1" customWidth="1"/>
    <col min="17" max="17" width="10.77734375" bestFit="1" customWidth="1"/>
    <col min="18" max="38" width="8" bestFit="1" customWidth="1"/>
    <col min="39" max="45" width="9.5546875" bestFit="1" customWidth="1"/>
    <col min="46" max="46" width="10.77734375" bestFit="1" customWidth="1"/>
  </cols>
  <sheetData>
    <row r="1" spans="2:9" x14ac:dyDescent="0.3">
      <c r="B1" s="22" t="s">
        <v>36</v>
      </c>
      <c r="C1" s="23"/>
      <c r="D1" s="5"/>
      <c r="E1" s="22" t="s">
        <v>37</v>
      </c>
      <c r="F1" s="22"/>
      <c r="H1" s="22" t="s">
        <v>38</v>
      </c>
      <c r="I1" s="22"/>
    </row>
    <row r="2" spans="2:9" x14ac:dyDescent="0.3">
      <c r="B2" s="10" t="s">
        <v>35</v>
      </c>
      <c r="C2" t="s">
        <v>30</v>
      </c>
      <c r="E2" s="10" t="s">
        <v>35</v>
      </c>
      <c r="F2" t="s">
        <v>30</v>
      </c>
      <c r="H2" s="10" t="s">
        <v>35</v>
      </c>
      <c r="I2" t="s">
        <v>30</v>
      </c>
    </row>
    <row r="3" spans="2:9" x14ac:dyDescent="0.3">
      <c r="B3" s="12" t="s">
        <v>10</v>
      </c>
      <c r="C3" s="11">
        <v>148350</v>
      </c>
      <c r="E3" s="12" t="s">
        <v>31</v>
      </c>
      <c r="F3" s="11">
        <v>82620</v>
      </c>
      <c r="H3" s="12" t="s">
        <v>13</v>
      </c>
      <c r="I3" s="11">
        <v>35840</v>
      </c>
    </row>
    <row r="4" spans="2:9" x14ac:dyDescent="0.3">
      <c r="B4" s="12" t="s">
        <v>7</v>
      </c>
      <c r="C4" s="11">
        <v>130780</v>
      </c>
      <c r="E4" s="12" t="s">
        <v>32</v>
      </c>
      <c r="F4" s="11">
        <v>66120</v>
      </c>
      <c r="H4" s="12" t="s">
        <v>21</v>
      </c>
      <c r="I4" s="11">
        <v>32000</v>
      </c>
    </row>
    <row r="5" spans="2:9" x14ac:dyDescent="0.3">
      <c r="B5" s="12" t="s">
        <v>29</v>
      </c>
      <c r="C5" s="11">
        <v>279130</v>
      </c>
      <c r="E5" s="12" t="s">
        <v>33</v>
      </c>
      <c r="F5" s="11">
        <v>81680</v>
      </c>
      <c r="H5" s="12" t="s">
        <v>17</v>
      </c>
      <c r="I5" s="11">
        <v>31920</v>
      </c>
    </row>
    <row r="6" spans="2:9" x14ac:dyDescent="0.3">
      <c r="E6" s="12" t="s">
        <v>34</v>
      </c>
      <c r="F6" s="11">
        <v>48710</v>
      </c>
      <c r="H6" s="12" t="s">
        <v>22</v>
      </c>
      <c r="I6" s="11">
        <v>27720</v>
      </c>
    </row>
    <row r="7" spans="2:9" x14ac:dyDescent="0.3">
      <c r="E7" s="12" t="s">
        <v>29</v>
      </c>
      <c r="F7" s="11">
        <v>279130</v>
      </c>
      <c r="H7" s="12" t="s">
        <v>20</v>
      </c>
      <c r="I7" s="11">
        <v>25560</v>
      </c>
    </row>
    <row r="8" spans="2:9" x14ac:dyDescent="0.3">
      <c r="H8" s="12" t="s">
        <v>16</v>
      </c>
      <c r="I8" s="11">
        <v>22950</v>
      </c>
    </row>
    <row r="9" spans="2:9" x14ac:dyDescent="0.3">
      <c r="H9" s="12" t="s">
        <v>15</v>
      </c>
      <c r="I9" s="11">
        <v>21840</v>
      </c>
    </row>
    <row r="10" spans="2:9" x14ac:dyDescent="0.3">
      <c r="H10" s="12" t="s">
        <v>11</v>
      </c>
      <c r="I10" s="11">
        <v>20340</v>
      </c>
    </row>
    <row r="11" spans="2:9" x14ac:dyDescent="0.3">
      <c r="H11" s="12" t="s">
        <v>9</v>
      </c>
      <c r="I11" s="11">
        <v>18360</v>
      </c>
    </row>
    <row r="12" spans="2:9" x14ac:dyDescent="0.3">
      <c r="H12" s="12" t="s">
        <v>6</v>
      </c>
      <c r="I12" s="11">
        <v>18150</v>
      </c>
    </row>
    <row r="13" spans="2:9" x14ac:dyDescent="0.3">
      <c r="H13" s="12" t="s">
        <v>18</v>
      </c>
      <c r="I13" s="11">
        <v>13020</v>
      </c>
    </row>
    <row r="14" spans="2:9" x14ac:dyDescent="0.3">
      <c r="H14" s="12" t="s">
        <v>19</v>
      </c>
      <c r="I14" s="11">
        <v>11430</v>
      </c>
    </row>
    <row r="15" spans="2:9" x14ac:dyDescent="0.3">
      <c r="H15" s="12" t="s">
        <v>29</v>
      </c>
      <c r="I15" s="11">
        <v>279130</v>
      </c>
    </row>
  </sheetData>
  <mergeCells count="3">
    <mergeCell ref="B1:C1"/>
    <mergeCell ref="E1:F1"/>
    <mergeCell ref="H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S4"/>
  <sheetViews>
    <sheetView showGridLines="0" tabSelected="1" workbookViewId="0">
      <selection activeCell="R2" sqref="R2"/>
    </sheetView>
  </sheetViews>
  <sheetFormatPr defaultRowHeight="14.4" x14ac:dyDescent="0.3"/>
  <sheetData>
    <row r="4" spans="19:19" x14ac:dyDescent="0.3">
      <c r="S4" t="s">
        <v>39</v>
      </c>
    </row>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Kshitiz Acharya</cp:lastModifiedBy>
  <dcterms:created xsi:type="dcterms:W3CDTF">2026-04-28T15:08:25Z</dcterms:created>
  <dcterms:modified xsi:type="dcterms:W3CDTF">2026-04-29T12:35:59Z</dcterms:modified>
</cp:coreProperties>
</file>